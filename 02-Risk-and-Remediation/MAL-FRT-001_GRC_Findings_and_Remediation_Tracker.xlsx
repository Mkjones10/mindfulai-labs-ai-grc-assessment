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Disclosure" sheetId="1" state="visible" r:id="rId3"/>
    <sheet name="Summary Dashboard" sheetId="2" state="visible" r:id="rId4"/>
    <sheet name="Findings" sheetId="3" state="visible" r:id="rId5"/>
    <sheet name="Remediation Actions" sheetId="4" state="visible" r:id="rId6"/>
    <sheet name="Evidence Requests" sheetId="5" state="visible" r:id="rId7"/>
    <sheet name="Source Index" sheetId="6" state="visible" r:id="rId8"/>
    <sheet name="ID Crosswalk" sheetId="7" state="visible" r:id="rId9"/>
    <sheet name="Data Dictionary" sheetId="8" state="visible" r:id="rId10"/>
  </sheets>
  <definedNames>
    <definedName function="false" hidden="true" localSheetId="7" name="_xlnm._FilterDatabase" vbProcedure="false">'Data Dictionary'!$A$4:$E$39</definedName>
    <definedName function="false" hidden="true" localSheetId="4" name="_xlnm._FilterDatabase" vbProcedure="false">'Evidence Requests'!$A$4:$N$87</definedName>
    <definedName function="false" hidden="true" localSheetId="2" name="_xlnm._FilterDatabase" vbProcedure="false">Findings!$A$4:$AB$33</definedName>
    <definedName function="false" hidden="true" localSheetId="3" name="_xlnm._FilterDatabase" vbProcedure="false">'Remediation Actions'!$A$4:$P$34</definedName>
    <definedName function="false" hidden="true" localSheetId="5" name="_xlnm._FilterDatabase" vbProcedure="false">'Source Index'!$A$4:$S$14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<sst xmlns="http://schemas.openxmlformats.org/spreadsheetml/2006/main" count="3194" uniqueCount="1076">
  <si>
    <t xml:space="preserve">MAL-FRT-001 — GRC Findings &amp; Remediation Tracker</t>
  </si>
  <si>
    <t xml:space="preserve">SIMULATED GRC PRACTICE ENVIRONMENT — All findings, observations, planning gaps, statuses, target dates and assessment results in this workbook belong to a simulated portfolio scenario (MindfulAI Labs). They do not represent verified production-system testing, actual evidence, management approvals, or an actual organization.</t>
  </si>
  <si>
    <t xml:space="preserve">MindfulAI Labs · Simulated GRC Practice Environment · AI GRC &amp; Control Assurance Portfolio</t>
  </si>
  <si>
    <t xml:space="preserve">Document Control</t>
  </si>
  <si>
    <t xml:space="preserve">Document ID</t>
  </si>
  <si>
    <t xml:space="preserve">MAL-FRT-001</t>
  </si>
  <si>
    <t xml:space="preserve">Document Title</t>
  </si>
  <si>
    <t xml:space="preserve">GRC Findings &amp; Remediation Tracker</t>
  </si>
  <si>
    <t xml:space="preserve">Version</t>
  </si>
  <si>
    <t xml:space="preserve">1.0</t>
  </si>
  <si>
    <t xml:space="preserve">Prepared By</t>
  </si>
  <si>
    <t xml:space="preserve">Maxine Jones, GRC Analyst</t>
  </si>
  <si>
    <t xml:space="preserve">Prepared Date</t>
  </si>
  <si>
    <t xml:space="preserve">October 21, 2026</t>
  </si>
  <si>
    <t xml:space="preserve">Classification</t>
  </si>
  <si>
    <t xml:space="preserve">Confidential — Internal Use Only</t>
  </si>
  <si>
    <t xml:space="preserve">Status</t>
  </si>
  <si>
    <t xml:space="preserve">Final — Portfolio Simulation</t>
  </si>
  <si>
    <t xml:space="preserve">Purpose and Basis</t>
  </si>
  <si>
    <t xml:space="preserve">Purpose</t>
  </si>
  <si>
    <t xml:space="preserve">Consolidates the documented findings, process-improvement observations, planning gaps, remediation actions and evidence requirements from ten MindfulAI Labs control artifacts (MAL-CHK-001 through MAL-VRA-010) into one filterable tracker.</t>
  </si>
  <si>
    <t xml:space="preserve">Basis</t>
  </si>
  <si>
    <t xml:space="preserve">Built exclusively from the ten MAL-xxx source documents and the six JSON exports (Asset Register, Risk Register, Control Register, Policies, Risk Appetite Statements, KRIs). Nothing here was drawn from outside those sources.</t>
  </si>
  <si>
    <t xml:space="preserve">Simulation disclosure</t>
  </si>
  <si>
    <t xml:space="preserve">What this tracker does NOT contain</t>
  </si>
  <si>
    <t xml:space="preserve">No invented findings, remediation actions, completion dates, management approvals, evidence, closure results, residual risk scores or risk-tolerance conclusions. No suggested closure criteria. Every sign-off table in the source documents is blank; no approvals are represented here.</t>
  </si>
  <si>
    <t xml:space="preserve">Record Classifications (Findings tab)</t>
  </si>
  <si>
    <t xml:space="preserve">Confirmed Finding (Simulated)</t>
  </si>
  <si>
    <t xml:space="preserve">A control deficiency or exception that the source document explicitly records as a finding or exception within the simulated scenario (ACR-xx, VUL-01/02, PRV-01/02, LOG-01/02, VRA-01/02/03).</t>
  </si>
  <si>
    <t xml:space="preserve">Observation</t>
  </si>
  <si>
    <t xml:space="preserve">A source-labelled observation: process-improvement observations (OBS-01, VUL-03, PRV-03, LOG-03, VRA-04), risk-register coverage gaps, and one asset-register observation. The source states these are not control exceptions.</t>
  </si>
  <si>
    <t xml:space="preserve">Planning Gap</t>
  </si>
  <si>
    <t xml:space="preserve">A pre-assessment planning observation (APO-01 to APO-04) in MAL-CAP-009. The source states these are not findings and not control deficiencies; no testing was performed.</t>
  </si>
  <si>
    <t xml:space="preserve">Evidence Requirement</t>
  </si>
  <si>
    <t xml:space="preserve">An item marked “Evidence Required — Not Provided (Simulated Requirement)”. Kept on its own tab. A missing-evidence item is NOT a control deficiency and is never counted as one.</t>
  </si>
  <si>
    <t xml:space="preserve">Reported Status vs. Validated Closure</t>
  </si>
  <si>
    <t xml:space="preserve">Rule</t>
  </si>
  <si>
    <t xml:space="preserve">“Status (As Documented)” is the status stated in the source document. “Independent Closure Validation” is a separate field. No remediation status in this tracker has been independently validated: every record reads “Not performed — evidence not provided”. The one reported remediation (ACR-03, “Remediated (Simulated) — account disabled; underlying process fix Open”) is preserved as written and is NOT counted as closed.</t>
  </si>
  <si>
    <t xml:space="preserve">Analyst-derived fields</t>
  </si>
  <si>
    <t xml:space="preserve">Columns whose header ends “(Analyst-Derived)” — Severity Group, Primary Owner Team, Reported Status Group — are reporting classifications added for filtering and dashboard counts only. The original wording is always kept in the adjacent “(As Documented)” column.</t>
  </si>
  <si>
    <t xml:space="preserve">Target dates</t>
  </si>
  <si>
    <t xml:space="preserve">Exact dates are stored as dates. Quarterly targets (e.g., Q4 2026, Q1 2027) are kept as text; no calendar deadline has been assigned to them. “Not stated in source” means the source gives no date.</t>
  </si>
  <si>
    <t xml:space="preserve">Closure criteria</t>
  </si>
  <si>
    <t xml:space="preserve">Taken verbatim from the source “Validation” statement where one exists. Otherwise “Not Defined in Source”.</t>
  </si>
  <si>
    <t xml:space="preserve">Tabs</t>
  </si>
  <si>
    <t xml:space="preserve">Summary Dashboard</t>
  </si>
  <si>
    <t xml:space="preserve">Formula-driven counts by classification, severity group, status, source document, owner and target timeline; reported vs. validated closure; contextual KRI / risk-appetite / policy references.</t>
  </si>
  <si>
    <t xml:space="preserve">Findings</t>
  </si>
  <si>
    <t xml:space="preserve">29 trackable records with source traceability (document, section, original ID).</t>
  </si>
  <si>
    <t xml:space="preserve">Remediation Actions</t>
  </si>
  <si>
    <t xml:space="preserve">30 actions, one per source recommendation (ACR-03 is split in two because the source reports two different statuses).</t>
  </si>
  <si>
    <t xml:space="preserve">Evidence Requests</t>
  </si>
  <si>
    <t xml:space="preserve">83 evidence requirements, separate from findings.</t>
  </si>
  <si>
    <t xml:space="preserve">Source Index</t>
  </si>
  <si>
    <t xml:space="preserve">The ten source documents, with documented counts reconciled to extracted counts.</t>
  </si>
  <si>
    <t xml:space="preserve">ID Crosswalk</t>
  </si>
  <si>
    <t xml:space="preserve">Source IDs ↔ normalized IDs for assets, risks and controls; policy references. Normalized IDs are shown only where a source document states them.</t>
  </si>
  <si>
    <t xml:space="preserve">Data Dictionary</t>
  </si>
  <si>
    <t xml:space="preserve">Every column, its allowed values and where its content comes from.</t>
  </si>
  <si>
    <t xml:space="preserve">Scope Notes</t>
  </si>
  <si>
    <t xml:space="preserve">Excluded: MAL-IPR-011</t>
  </si>
  <si>
    <t xml:space="preserve">The assessment document for control A.5.35 (independent peer review; Not Tested in the Control Register) was not provided, so it contributes no findings, actions or evidence. The control appears in the ID Crosswalk only.</t>
  </si>
  <si>
    <t xml:space="preserve">Not logged as findings</t>
  </si>
  <si>
    <t xml:space="preserve">Items the sources mark as Met / Passed; blank sign-off tables; scope notes (e.g., assets excluded or deferred to program level in MAL-VMA-005, MAL-BRT-007, MAL-LMA-008); the assessor-independence consideration in MAL-CAP-009; and risk-appetite / KRI context.</t>
  </si>
  <si>
    <t xml:space="preserve">Risk appetite and KRIs</t>
  </si>
  <si>
    <t xml:space="preserve">Used as context only where a source document cites them. No residual risk scores are stated or computed, and no comparison to risk tolerance is made.</t>
  </si>
  <si>
    <t xml:space="preserve">Reconciliation (live formulas)</t>
  </si>
  <si>
    <t xml:space="preserve">Trackable records (Findings tab)</t>
  </si>
  <si>
    <t xml:space="preserve">Expected 29</t>
  </si>
  <si>
    <t xml:space="preserve">  Confirmed Findings (Simulated)</t>
  </si>
  <si>
    <t xml:space="preserve">Expected 12</t>
  </si>
  <si>
    <t xml:space="preserve">  Observations</t>
  </si>
  <si>
    <t xml:space="preserve">Expected 13</t>
  </si>
  <si>
    <t xml:space="preserve">  Planning Gaps</t>
  </si>
  <si>
    <t xml:space="preserve">Expected 4</t>
  </si>
  <si>
    <t xml:space="preserve">Remediation actions</t>
  </si>
  <si>
    <t xml:space="preserve">Expected 30</t>
  </si>
  <si>
    <t xml:space="preserve">Evidence requirements</t>
  </si>
  <si>
    <t xml:space="preserve">Expected 83</t>
  </si>
  <si>
    <t xml:space="preserve">Source documents reconciled (Match)</t>
  </si>
  <si>
    <t xml:space="preserve">Expected 10 of 10</t>
  </si>
  <si>
    <t xml:space="preserve">All figures are live formulas over the Findings, Remediation Actions, Evidence Requests and Source Index tabs.</t>
  </si>
  <si>
    <t xml:space="preserve">As-of date (editable input)</t>
  </si>
  <si>
    <t xml:space="preserve">Assumption: set to the preparation date (2026-10-21). Change it to re-run the target-date counts in section 6.</t>
  </si>
  <si>
    <t xml:space="preserve">1. Record counts</t>
  </si>
  <si>
    <t xml:space="preserve">Measure</t>
  </si>
  <si>
    <t xml:space="preserve">Count</t>
  </si>
  <si>
    <t xml:space="preserve">Confirmed Findings (Simulated)</t>
  </si>
  <si>
    <t xml:space="preserve">Observations</t>
  </si>
  <si>
    <t xml:space="preserve">Planning Gaps</t>
  </si>
  <si>
    <t xml:space="preserve">Total trackable records (Findings tab)</t>
  </si>
  <si>
    <t xml:space="preserve">Remediation actions (Remediation Actions tab)</t>
  </si>
  <si>
    <t xml:space="preserve">Evidence requirements (separate from findings)</t>
  </si>
  <si>
    <t xml:space="preserve">Evidence requirements treated as control deficiencies</t>
  </si>
  <si>
    <t xml:space="preserve">2. Reported simulated status vs. independently validated closure</t>
  </si>
  <si>
    <t xml:space="preserve">Records</t>
  </si>
  <si>
    <t xml:space="preserve">Reported: In Progress (Simulated)</t>
  </si>
  <si>
    <t xml:space="preserve">Reported: Open (Simulated)</t>
  </si>
  <si>
    <t xml:space="preserve">Reported: Reported Remediated (Sim.) — Process Fix Open</t>
  </si>
  <si>
    <t xml:space="preserve">Reported: Accepted by Owner (per source)</t>
  </si>
  <si>
    <t xml:space="preserve">Reported: No Status in Source</t>
  </si>
  <si>
    <t xml:space="preserve">Reported: Remediated (Simulated) — account disabled (ACR-03 action split)</t>
  </si>
  <si>
    <t xml:space="preserve">n/a</t>
  </si>
  <si>
    <t xml:space="preserve">Total (reconciles to section 1)</t>
  </si>
  <si>
    <t xml:space="preserve">Independently validated closures</t>
  </si>
  <si>
    <t xml:space="preserve">Zero: no closure evidence exists in the simulated scenario</t>
  </si>
  <si>
    <t xml:space="preserve">Independent closure validation NOT performed</t>
  </si>
  <si>
    <t xml:space="preserve">3. Severity group (analyst-derived) by classification — original severity wording is on the Findings tab</t>
  </si>
  <si>
    <t xml:space="preserve">Severity Group (Analyst-Derived)</t>
  </si>
  <si>
    <t xml:space="preserve">Confirmed Findings</t>
  </si>
  <si>
    <t xml:space="preserve">Total</t>
  </si>
  <si>
    <t xml:space="preserve">High</t>
  </si>
  <si>
    <t xml:space="preserve">Medium-High</t>
  </si>
  <si>
    <t xml:space="preserve">Medium</t>
  </si>
  <si>
    <t xml:space="preserve">Low</t>
  </si>
  <si>
    <t xml:space="preserve">Not Rated</t>
  </si>
  <si>
    <t xml:space="preserve">4. By source document and control rating</t>
  </si>
  <si>
    <t xml:space="preserve">Source Document</t>
  </si>
  <si>
    <t xml:space="preserve">Control Rating (Source)</t>
  </si>
  <si>
    <t xml:space="preserve">Evidence Requirements</t>
  </si>
  <si>
    <t xml:space="preserve">Reconciliation</t>
  </si>
  <si>
    <t xml:space="preserve">5. Records by primary owner team (analyst-derived from the documented owner)</t>
  </si>
  <si>
    <t xml:space="preserve">Primary Owner Team</t>
  </si>
  <si>
    <t xml:space="preserve">IAM Team</t>
  </si>
  <si>
    <t xml:space="preserve">Data Science Team</t>
  </si>
  <si>
    <t xml:space="preserve">AI Engineering Team</t>
  </si>
  <si>
    <t xml:space="preserve">Application Security Team</t>
  </si>
  <si>
    <t xml:space="preserve">Privacy and Compliance Team</t>
  </si>
  <si>
    <t xml:space="preserve">Infrastructure Operations Team</t>
  </si>
  <si>
    <t xml:space="preserve">Security Operations Team</t>
  </si>
  <si>
    <t xml:space="preserve">Third-Party Risk Management Team</t>
  </si>
  <si>
    <t xml:space="preserve">GRC Team</t>
  </si>
  <si>
    <t xml:space="preserve">Not specified in source</t>
  </si>
  <si>
    <t xml:space="preserve">6. Target timeline (quarter targets stay as text; no calendar date is assigned to them)</t>
  </si>
  <si>
    <t xml:space="preserve">Target</t>
  </si>
  <si>
    <t xml:space="preserve">Exact date in October 2026</t>
  </si>
  <si>
    <t xml:space="preserve">Exact date in November 2026</t>
  </si>
  <si>
    <t xml:space="preserve">Exact date in December 2026</t>
  </si>
  <si>
    <t xml:space="preserve">Quarter target: Q4 2026 (text)</t>
  </si>
  <si>
    <t xml:space="preserve">Quarter target: Q1 2027 (text)</t>
  </si>
  <si>
    <t xml:space="preserve">Target not stated in source</t>
  </si>
  <si>
    <t xml:space="preserve">Exact target dates within 30 days of the as-of date</t>
  </si>
  <si>
    <t xml:space="preserve">Counts exact dates only; reported status is unchanged by this view</t>
  </si>
  <si>
    <t xml:space="preserve">Exact target dates earlier than the as-of date</t>
  </si>
  <si>
    <t xml:space="preserve">7. Context only — cited by the source documents (not used to rate, score or conclude)</t>
  </si>
  <si>
    <t xml:space="preserve">Item</t>
  </si>
  <si>
    <t xml:space="preserve">Current / Level</t>
  </si>
  <si>
    <t xml:space="preserve">Thresholds / Tolerance</t>
  </si>
  <si>
    <t xml:space="preserve">Trend</t>
  </si>
  <si>
    <t xml:space="preserve">Owner</t>
  </si>
  <si>
    <t xml:space="preserve">Cited In</t>
  </si>
  <si>
    <t xml:space="preserve">Limitation stated by the source</t>
  </si>
  <si>
    <t xml:space="preserve">KRI-001 Critical AI Validation Exceptions</t>
  </si>
  <si>
    <t xml:space="preserve">1 (count)</t>
  </si>
  <si>
    <t xml:space="preserve">Amber 2 / Red 4</t>
  </si>
  <si>
    <t xml:space="preserve">Stable</t>
  </si>
  <si>
    <t xml:space="preserve">Clinical AI &amp; ML Team</t>
  </si>
  <si>
    <t xml:space="preserve">MAL-CAP-009 §6.4</t>
  </si>
  <si>
    <t xml:space="preserve">Does not measure CTL-009 and is not evidence that annual compliance assessments occur.</t>
  </si>
  <si>
    <t xml:space="preserve">KRI-006 Critical Vendors with Overdue Risk Assessments</t>
  </si>
  <si>
    <t xml:space="preserve">3 (count)</t>
  </si>
  <si>
    <t xml:space="preserve">Amber 4 / Red 6</t>
  </si>
  <si>
    <t xml:space="preserve">Decreasing</t>
  </si>
  <si>
    <t xml:space="preserve">MAL-VRA-010 §6.2</t>
  </si>
  <si>
    <t xml:space="preserve">Counts overdue reassessments of vendors on record; does not evidence pre-approval assessment and does not override the control assessment.</t>
  </si>
  <si>
    <t xml:space="preserve">RAS-001 AI Governance (Cautious)</t>
  </si>
  <si>
    <t xml:space="preserve">Tolerance max 8 of 25</t>
  </si>
  <si>
    <t xml:space="preserve">Board approved</t>
  </si>
  <si>
    <t xml:space="preserve">MAL-CAP-009 §6.3</t>
  </si>
  <si>
    <t xml:space="preserve">Contextual only; not a Compliance appetite statement. No residual score exists for a compliance risk, so no comparison is made (APO-04).</t>
  </si>
  <si>
    <t xml:space="preserve">RAS-006 Third-Party (Moderate)</t>
  </si>
  <si>
    <t xml:space="preserve">Tolerance max 10 of 25</t>
  </si>
  <si>
    <t xml:space="preserve">MAL-VRA-010 §6.1</t>
  </si>
  <si>
    <t xml:space="preserve">No third-party risk exists in the register, so no residual score exists and no inside/outside-tolerance statement is made.</t>
  </si>
  <si>
    <t xml:space="preserve">The other KRIs (KRI-002 to KRI-005) and appetite statements (RAS-002 to RAS-005) in the JSON exports are not cited by any source document in scope and are not used. Policies cited by CAP-009 are listed on the ID Crosswalk tab.</t>
  </si>
  <si>
    <t xml:space="preserve">Findings, Observations &amp; Planning Gaps</t>
  </si>
  <si>
    <t xml:space="preserve">One row per trackable record. Original wording is preserved in “(As Documented)” columns; “(Analyst-Derived)” columns are reporting classifications only.</t>
  </si>
  <si>
    <t xml:space="preserve">Tracker ID</t>
  </si>
  <si>
    <t xml:space="preserve">Original Source ID</t>
  </si>
  <si>
    <t xml:space="preserve">Source Document ID</t>
  </si>
  <si>
    <t xml:space="preserve">Source Document Title</t>
  </si>
  <si>
    <t xml:space="preserve">Source Section</t>
  </si>
  <si>
    <t xml:space="preserve">Related Control</t>
  </si>
  <si>
    <t xml:space="preserve">Control Rating (Source Register)</t>
  </si>
  <si>
    <t xml:space="preserve">Related Asset</t>
  </si>
  <si>
    <t xml:space="preserve">Related Risk</t>
  </si>
  <si>
    <t xml:space="preserve">Title (As Documented)</t>
  </si>
  <si>
    <t xml:space="preserve">Description (As Documented)</t>
  </si>
  <si>
    <t xml:space="preserve">Subtype</t>
  </si>
  <si>
    <t xml:space="preserve">Severity (As Documented)</t>
  </si>
  <si>
    <t xml:space="preserve">Owner (As Documented)</t>
  </si>
  <si>
    <t xml:space="preserve">Primary Owner Team (Analyst-Derived)</t>
  </si>
  <si>
    <t xml:space="preserve">Recommended Action (As Documented)</t>
  </si>
  <si>
    <t xml:space="preserve">Status (As Documented)</t>
  </si>
  <si>
    <t xml:space="preserve">Reported Status Group (Analyst-Derived)</t>
  </si>
  <si>
    <t xml:space="preserve">Independent Closure Validation</t>
  </si>
  <si>
    <t xml:space="preserve">Target Date (As Documented)</t>
  </si>
  <si>
    <t xml:space="preserve">Target Date (Exact)</t>
  </si>
  <si>
    <t xml:space="preserve">Target Date Type</t>
  </si>
  <si>
    <t xml:space="preserve">Evidence Required (Cross-Reference)</t>
  </si>
  <si>
    <t xml:space="preserve">Closure Criteria</t>
  </si>
  <si>
    <t xml:space="preserve">Rating Impact (As Documented)</t>
  </si>
  <si>
    <t xml:space="preserve">Simulation Flag</t>
  </si>
  <si>
    <t xml:space="preserve">FRT-001</t>
  </si>
  <si>
    <t xml:space="preserve">OBS-01</t>
  </si>
  <si>
    <t xml:space="preserve">MAL-CHK-001</t>
  </si>
  <si>
    <t xml:space="preserve">AI Training Data Validation Checklist</t>
  </si>
  <si>
    <t xml:space="preserve">§6</t>
  </si>
  <si>
    <t xml:space="preserve">CTL-mu0tgvxq — Perform documented bias and data quality validation before AI model approval (ISO 27001 A.5.12)</t>
  </si>
  <si>
    <t xml:space="preserve">Effective</t>
  </si>
  <si>
    <t xml:space="preserve">AST-002 (source ID AST-mu0set5n) — Financial Risk Training Data Repository</t>
  </si>
  <si>
    <t xml:space="preserve">RSK-mu0sxjrj (RSK-001) — Training data bias causes inaccurate clinical AI recommendations (source: this checklist supports data-level bias validation and does not, on its own, close that risk)</t>
  </si>
  <si>
    <t xml:space="preserve">OBS-01 — Field Completeness (Minor)</t>
  </si>
  <si>
    <t xml:space="preserve">Approximately 0.4% of records contained a missing value in a non-critical, optional field. (Simulated sample figure.)</t>
  </si>
  <si>
    <t xml:space="preserve">Minor Observation (source label)</t>
  </si>
  <si>
    <t xml:space="preserve">Not separately rated; Risk / Impact: Low</t>
  </si>
  <si>
    <t xml:space="preserve">Continue monitoring field completeness in future quarterly validations and confirm the field remains excluded from model input.</t>
  </si>
  <si>
    <t xml:space="preserve">Records retained; reviewed and accepted by the Data Science Team</t>
  </si>
  <si>
    <t xml:space="preserve">Accepted by Owner (per source)</t>
  </si>
  <si>
    <t xml:space="preserve">Not performed — evidence not provided</t>
  </si>
  <si>
    <t xml:space="preserve">Not stated in source</t>
  </si>
  <si>
    <t xml:space="preserve">Control-level evidence list EVD-001 to EVD-005 (Evidence Requests tab); the source does not map items to this record</t>
  </si>
  <si>
    <t xml:space="preserve">Not Defined in Source</t>
  </si>
  <si>
    <t xml:space="preserve">This observation is minor and does not change the Effective conclusion for the control.</t>
  </si>
  <si>
    <t xml:space="preserve">Simulated portfolio scenario</t>
  </si>
  <si>
    <t xml:space="preserve">FRT-002</t>
  </si>
  <si>
    <t xml:space="preserve">ACR-01</t>
  </si>
  <si>
    <t xml:space="preserve">MAL-ACR-002</t>
  </si>
  <si>
    <t xml:space="preserve">User Access Review Worksheet</t>
  </si>
  <si>
    <t xml:space="preserve">§8–9</t>
  </si>
  <si>
    <t xml:space="preserve">CTL-mu1nugzu — Restrict AI training data repositories to authorized personnel using role-based access (NIST CSF PR.AA-05)</t>
  </si>
  <si>
    <t xml:space="preserve">Partially Effective</t>
  </si>
  <si>
    <t xml:space="preserve">RSK-mu0t1uva (RSK-002) — Unauthorized user exploits inadequate data access restrictions causing sensitive data exposure to Financial Risk Training Data Repository</t>
  </si>
  <si>
    <t xml:space="preserve">ACR-01 — Outdated Access Following a Role Change (Mover)</t>
  </si>
  <si>
    <t xml:space="preserve">Generic test identity U-1043 transferred out of the Analytics function but retained read/write (FRTDR-DataEngineer) access to the repository beyond the effective date of the role change. (Simulated.)</t>
  </si>
  <si>
    <t xml:space="preserve">Control Deficiency (Exception)</t>
  </si>
  <si>
    <t xml:space="preserve">IAM Team (execution), with Data Science Team (resource-owner approval)</t>
  </si>
  <si>
    <t xml:space="preserve">Revoke the retained entitlements and incorporate mover events into the joiner/mover/leaver (JML) process, with HR-triggered, automated recalculation of access on role change.</t>
  </si>
  <si>
    <t xml:space="preserve">In Progress (Simulated)</t>
  </si>
  <si>
    <t xml:space="preserve">October 31, 2026 (Simulated)</t>
  </si>
  <si>
    <t xml:space="preserve">Exact date</t>
  </si>
  <si>
    <t xml:space="preserve">Control-level evidence list EVD-006 to EVD-011 (Evidence Requests tab); the source does not map items to this record</t>
  </si>
  <si>
    <t xml:space="preserve">Cited among the operating exceptions supporting the Partially Effective conclusion (§10)</t>
  </si>
  <si>
    <t xml:space="preserve">FRT-003</t>
  </si>
  <si>
    <t xml:space="preserve">ACR-02</t>
  </si>
  <si>
    <t xml:space="preserve">ACR-02 — Excessive Write Privileges (Least Privilege)</t>
  </si>
  <si>
    <t xml:space="preserve">Generic test identities U-1101 and U-1102 were assigned a write/modify role (FRTDR-DataEngineer) although their job function requires read-only (FRTDR-DataScientist) access. (Simulated.)</t>
  </si>
  <si>
    <t xml:space="preserve">Downgrade both accounts to read-only; enforce the authoritative role-to-entitlement mapping; require documented business justification and periodic recertification for any write-level access.</t>
  </si>
  <si>
    <t xml:space="preserve">FRT-004</t>
  </si>
  <si>
    <t xml:space="preserve">ACR-03</t>
  </si>
  <si>
    <t xml:space="preserve">ACR-03 — Delayed Contractor Deprovisioning (Leaver)</t>
  </si>
  <si>
    <t xml:space="preserve">Contractor test identity C-207 remained active for approximately 12 days after the contract end date, exceeding the same-business-day deprovisioning expectation for departed personnel. (Simulated.)</t>
  </si>
  <si>
    <t xml:space="preserve">High (window)</t>
  </si>
  <si>
    <t xml:space="preserve">IAM Team (execution), with HR / Vendor Management (notification of end dates)</t>
  </si>
  <si>
    <t xml:space="preserve">Implement event-driven deprovisioning tied to contract end dates; perform leaver reconciliation each quarter; generate alerts for any account active past its associated end date.</t>
  </si>
  <si>
    <t xml:space="preserve">Remediated (Simulated) — account disabled; underlying process fix Open</t>
  </si>
  <si>
    <t xml:space="preserve">Reported Remediated (Sim.) — Process Fix Open</t>
  </si>
  <si>
    <t xml:space="preserve">November 15, 2026 (Simulated) for the process fix</t>
  </si>
  <si>
    <t xml:space="preserve">FRT-005</t>
  </si>
  <si>
    <t xml:space="preserve">MAL-CTW-003</t>
  </si>
  <si>
    <t xml:space="preserve">Change Management Control Test Worksheet</t>
  </si>
  <si>
    <t xml:space="preserve">§9</t>
  </si>
  <si>
    <t xml:space="preserve">CTL-mu1nvfmw — Require documented review and approval before production AI model changes are deployed (SOC 2 CC8.1)</t>
  </si>
  <si>
    <t xml:space="preserve">AST-001 — Clinical Diagnostic AI Model (change record CHG-2058)</t>
  </si>
  <si>
    <t xml:space="preserve">RSK-mu0t2oau (RSK-003) — Unauthorized developer exploits excessive privileges causing unapproved model changes to AI Model Training Server (linked on theme); secondary risk with no risk ID in source, referenced by title: “Incomplete validation exploits insufficient testing coverage causing defective models to advance from Pre-Production AI Validation Environment”</t>
  </si>
  <si>
    <t xml:space="preserve">OBS-01 — Rollback-Plan Documentation (Process-Improvement Observation)</t>
  </si>
  <si>
    <t xml:space="preserve">For change CHG-2058, the rollback-plan section of the change record was present but lacked sufficient detail. (Simulated.)</t>
  </si>
  <si>
    <t xml:space="preserve">Process-Improvement Observation</t>
  </si>
  <si>
    <t xml:space="preserve">Adopt a standardized rollback-plan template within the change record so that rollback steps are consistently documented in sufficient detail.</t>
  </si>
  <si>
    <t xml:space="preserve">Open (Simulated) — process improvement</t>
  </si>
  <si>
    <t xml:space="preserve">Open (Simulated)</t>
  </si>
  <si>
    <t xml:space="preserve">Control-level evidence list EVD-012 to EVD-018 (Evidence Requests tab); the source does not map items to this record</t>
  </si>
  <si>
    <t xml:space="preserve">Process-improvement observation — not a control exception; does not affect the attribute results or the Effective rating.</t>
  </si>
  <si>
    <t xml:space="preserve">FRT-006</t>
  </si>
  <si>
    <t xml:space="preserve">MAL-STD-004</t>
  </si>
  <si>
    <t xml:space="preserve">Privileged Access &amp; Multi-Factor Authentication Security Standard</t>
  </si>
  <si>
    <t xml:space="preserve">CTL-004 — Enforce multi-factor authentication and least-privilege access for privileged AI platform accounts (CIS 6)</t>
  </si>
  <si>
    <t xml:space="preserve">AST-001, AST-002, AST-003, AST-004, AST-006, AST-007, AST-008, AST-009, AST-010 (in-scope assets per MAL-STD-004 §3)</t>
  </si>
  <si>
    <t xml:space="preserve">RSK-mu0t2oau (RSK-003) — primary risk mitigated by this control (source-provided)</t>
  </si>
  <si>
    <t xml:space="preserve">OBS-01 — Break-Glass Review Cadence (Minor)</t>
  </si>
  <si>
    <t xml:space="preserve">The standard requires controlled emergency / break-glass access (§7.5), but a specific periodic review cadence for break-glass account usage has not yet been formally defined.</t>
  </si>
  <si>
    <t xml:space="preserve">Establish a documented quarterly review of break-glass account activity, with review ownership, evidence retention, and escalation requirements.</t>
  </si>
  <si>
    <t xml:space="preserve">Q4 2026</t>
  </si>
  <si>
    <t xml:space="preserve">Quarter (text)</t>
  </si>
  <si>
    <t xml:space="preserve">Control-level evidence list EVD-019 to EVD-027 (Evidence Requests tab); the source does not map items to this record</t>
  </si>
  <si>
    <t xml:space="preserve">Verify the review requirement and supporting evidence during the next quarterly conformance assessment.</t>
  </si>
  <si>
    <t xml:space="preserve">Not a control exception or a finding; does not change the Effective rating recorded in the Control Register.</t>
  </si>
  <si>
    <t xml:space="preserve">FRT-007</t>
  </si>
  <si>
    <t xml:space="preserve">VUL-01</t>
  </si>
  <si>
    <t xml:space="preserve">MAL-VMA-005</t>
  </si>
  <si>
    <t xml:space="preserve">Vulnerability Management Control Assessment / Test Report</t>
  </si>
  <si>
    <t xml:space="preserve">§10–11</t>
  </si>
  <si>
    <t xml:space="preserve">CTL-005 — Perform vulnerability testing and remediate identified weaknesses in production AI APIs (NIST CSF DE.CM-09)</t>
  </si>
  <si>
    <t xml:space="preserve">AST-001 — Clinical Diagnostic AI Model</t>
  </si>
  <si>
    <t xml:space="preserve">RSK-004 and RSK-006 (nearest related risks; imperfect mapping — see Section 5 coverage gap)</t>
  </si>
  <si>
    <t xml:space="preserve">VUL-01 — Scan Coverage Gap (Finding)</t>
  </si>
  <si>
    <t xml:space="preserve">Authenticated monthly scanning is established for the in-scope production AI service, but the API/endpoint inventory is not consistently reconciled to the scan scope, so one or more production endpoints associated with AST-001 may be omitted from a given monthly cycle. (Simulated.)</t>
  </si>
  <si>
    <t xml:space="preserve">Control Deficiency (Finding)</t>
  </si>
  <si>
    <t xml:space="preserve">Application Security Team (execution), with Clinical AI &amp; Machine Learning Team (asset-owner support)</t>
  </si>
  <si>
    <t xml:space="preserve">Reconcile the API/endpoint inventory to the authenticated scan scope each monthly cycle and add a coverage-completeness check that flags any production endpoint not covered by a scan in the period.</t>
  </si>
  <si>
    <t xml:space="preserve">November 30, 2026 (Simulated)</t>
  </si>
  <si>
    <t xml:space="preserve">Control-level evidence list EVD-028 to EVD-034 (Evidence Requests tab); the source does not map items to this record</t>
  </si>
  <si>
    <t xml:space="preserve">Re-confirm scope-to-inventory reconciliation and coverage evidence at the next monthly assessment.</t>
  </si>
  <si>
    <t xml:space="preserve">Rating rests primarily on VUL-01 and VUL-02 (Partially Effective)</t>
  </si>
  <si>
    <t xml:space="preserve">FRT-008</t>
  </si>
  <si>
    <t xml:space="preserve">VUL-02</t>
  </si>
  <si>
    <t xml:space="preserve">VUL-02 — Remediation Timeliness (Finding)</t>
  </si>
  <si>
    <t xml:space="preserve">Identified vulnerabilities are tracked and risk-rated, but remediation SLA adherence is inconsistent: a subset of findings — including at least one higher-severity finding — exceeded their defined remediation windows before closure. (Simulated.)</t>
  </si>
  <si>
    <t xml:space="preserve">Application Security Team (tracking), with Clinical AI &amp; Machine Learning Team (accountable for remediation) and AI Engineering Team (fixes)</t>
  </si>
  <si>
    <t xml:space="preserve">Enforce severity-based remediation SLAs, escalate overdue items to the asset owner and management, and report SLA-adherence metrics on the control’s monthly cadence.</t>
  </si>
  <si>
    <t xml:space="preserve">Review SLA-adherence metrics and overdue-item aging at the next monthly assessment.</t>
  </si>
  <si>
    <t xml:space="preserve">FRT-009</t>
  </si>
  <si>
    <t xml:space="preserve">VUL-03</t>
  </si>
  <si>
    <t xml:space="preserve">VUL-03 — AI-Specific Security Testing Gap (Observation)</t>
  </si>
  <si>
    <t xml:space="preserve">Conventional web/API vulnerability testing is performed, but the testing program does not yet include AI-specific abuse cases (for example, input/prompt validation and model-inference abuse) for the production AI API. (Simulated.)</t>
  </si>
  <si>
    <t xml:space="preserve">Low (Observation)</t>
  </si>
  <si>
    <t xml:space="preserve">Extend the testing program to include AI/LLM-specific test cases for production AI APIs, aligned to emerging AI-security testing guidance; pilot on the in-scope service first.</t>
  </si>
  <si>
    <t xml:space="preserve">Q4 2026 (Simulated)</t>
  </si>
  <si>
    <t xml:space="preserve">Confirm AI-specific test cases and results at a subsequent assessment.</t>
  </si>
  <si>
    <t xml:space="preserve">Contributes context; the Partially Effective rating rests primarily on VUL-01 and VUL-02.</t>
  </si>
  <si>
    <t xml:space="preserve">FRT-010</t>
  </si>
  <si>
    <t xml:space="preserve">None assigned in source</t>
  </si>
  <si>
    <t xml:space="preserve">§5</t>
  </si>
  <si>
    <t xml:space="preserve">AST-001 — Clinical Diagnostic AI Model (control's in-scope asset)</t>
  </si>
  <si>
    <t xml:space="preserve">None in register (coverage gap); nearest related: RSK-004 and RSK-006</t>
  </si>
  <si>
    <t xml:space="preserve">Risk-Register Coverage Gap — Exploitable Vulnerabilities in Production AI APIs</t>
  </si>
  <si>
    <t xml:space="preserve">No risk record in the register specifically addresses exploitable vulnerabilities in production AI APIs — the exact exposure this control mitigates. This is a risk-register coverage gap: the control operates against a risk that is not explicitly represented in the register.</t>
  </si>
  <si>
    <t xml:space="preserve">Risk-Register Coverage Gap</t>
  </si>
  <si>
    <t xml:space="preserve">Not rated in source</t>
  </si>
  <si>
    <t xml:space="preserve">Application Security Team (proposed owner of the recommended risk record)</t>
  </si>
  <si>
    <t xml:space="preserve">Add a risk record for “exploitable vulnerabilities in production AI APIs” (owner Application Security Team) and link CTL-005 to it.</t>
  </si>
  <si>
    <t xml:space="preserve">No Status in Source</t>
  </si>
  <si>
    <t xml:space="preserve">Described in source as an observation carried to the consolidated tracker; no rating impact stated.</t>
  </si>
  <si>
    <t xml:space="preserve">FRT-011</t>
  </si>
  <si>
    <t xml:space="preserve">PRV-01</t>
  </si>
  <si>
    <t xml:space="preserve">MAL-PIA-006</t>
  </si>
  <si>
    <t xml:space="preserve">AI Privacy Impact Assessment (DPIA-Aligned)</t>
  </si>
  <si>
    <t xml:space="preserve">§11–12</t>
  </si>
  <si>
    <t xml:space="preserve">CTL-006 — Review AI datasets for unnecessary personal information and apply privacy safeguards before processing (GDPR Art.5)</t>
  </si>
  <si>
    <t xml:space="preserve">AST-002 (Stream A — financial training data); AST-001 and AST-009 (Stream B — clinical processing)</t>
  </si>
  <si>
    <t xml:space="preserve">RSK-002 (Stream A) and RSK-008 (Stream B) — nearest related risks; imperfect, “loosely related” mapping (see Section 5 coverage gap)</t>
  </si>
  <si>
    <t xml:space="preserve">PRV-01 — Data Minimization Gap (Finding)</t>
  </si>
  <si>
    <t xml:space="preserve">The assessment scenario indicates that the quarterly minimization review does not consistently document whether all retained personal-data elements are necessary for the stated processing purpose; unnecessary personal data may therefore be retained without a documented justification. Applies across Stream A (AST-002) and the clinical Stream B (AST-001 / AST-009).</t>
  </si>
  <si>
    <t xml:space="preserve">Privacy and Compliance Team (review), with Data Science Team and Clinical AI &amp; Machine Learning Team (asset owners)</t>
  </si>
  <si>
    <t xml:space="preserve">For each in-scope dataset, maintain a data inventory mapping every personal-data element to a documented necessity justification tied to the processing purpose; remove or justify elements that are not necessary; record decisions each review cycle.</t>
  </si>
  <si>
    <t xml:space="preserve">December 31, 2026 (Simulated)</t>
  </si>
  <si>
    <t xml:space="preserve">Control-level evidence list EVD-035 to EVD-041 (Evidence Requests tab); the source does not map items to this record</t>
  </si>
  <si>
    <t xml:space="preserve">Re-confirm the documented necessity mapping and minimization decisions at the next quarterly review.</t>
  </si>
  <si>
    <t xml:space="preserve">Rating rests primarily on PRV-01 and PRV-02 (Partially Effective)</t>
  </si>
  <si>
    <t xml:space="preserve">FRT-012</t>
  </si>
  <si>
    <t xml:space="preserve">PRV-02</t>
  </si>
  <si>
    <t xml:space="preserve">PRV-02 — Inconsistent Privacy Safeguards (Finding)</t>
  </si>
  <si>
    <t xml:space="preserve">The assessment scenario indicates that privacy safeguards (for example, masking or pseudonymization of personal-data elements) are not consistently applied across all in-scope personal data before processing, and that the application of safeguards is not uniformly documented.</t>
  </si>
  <si>
    <t xml:space="preserve">Privacy and Compliance Team (standard), with Data Science Team / AI Engineering Team (implementation) and Data Protection Team (clinical backup)</t>
  </si>
  <si>
    <t xml:space="preserve">Define a consistent safeguard standard (masking / pseudonymization and access restriction) for personal-data elements before processing, apply it across all in-scope datasets, and record the safeguards applied per dataset.</t>
  </si>
  <si>
    <t xml:space="preserve">Review safeguard-application records per dataset at the next quarterly review.</t>
  </si>
  <si>
    <t xml:space="preserve">FRT-013</t>
  </si>
  <si>
    <t xml:space="preserve">PRV-03</t>
  </si>
  <si>
    <t xml:space="preserve">PRV-03 — Retention / Storage Limitation (Observation)</t>
  </si>
  <si>
    <t xml:space="preserve">The assessment scenario indicates that retention periods for personal data in the in-scope datasets are not yet formally defined or enforced, so data could be retained longer than necessary.</t>
  </si>
  <si>
    <t xml:space="preserve">Define retention periods for personal data in each in-scope dataset aligned to the processing purpose, implement periodic deletion / review, and formalize a retention schedule.</t>
  </si>
  <si>
    <t xml:space="preserve">Q1 2027 (Simulated)</t>
  </si>
  <si>
    <t xml:space="preserve">Confirm the retention schedule and enforcement evidence at a subsequent review.</t>
  </si>
  <si>
    <t xml:space="preserve">Contributes context; the Partially Effective rating rests primarily on PRV-01 and PRV-02.</t>
  </si>
  <si>
    <t xml:space="preserve">FRT-014</t>
  </si>
  <si>
    <t xml:space="preserve">AST-002; AST-001; AST-009 (in-scope streams)</t>
  </si>
  <si>
    <t xml:space="preserve">None in register (coverage gap); nearest related: RSK-002 and RSK-008</t>
  </si>
  <si>
    <t xml:space="preserve">Risk-Register Coverage Gap — Unnecessary Personal Data / Non-Compliant Processing in AI Datasets</t>
  </si>
  <si>
    <t xml:space="preserve">No risk record in the register specifically addresses excessive or unnecessary personal data in AI datasets, or non-compliant processing of personal data — the exact exposure this control mitigates. This is a risk-register coverage gap: the control operates against a risk that is not explicitly represented in the register.</t>
  </si>
  <si>
    <t xml:space="preserve">Privacy and Compliance Team (proposed owner of the recommended risk record)</t>
  </si>
  <si>
    <t xml:space="preserve">Add a risk record for “unnecessary personal data / non-compliant processing in AI datasets” (owner Privacy and Compliance Team) and link CTL-006 to it.</t>
  </si>
  <si>
    <t xml:space="preserve">FRT-015</t>
  </si>
  <si>
    <t xml:space="preserve">MAL-BRT-007</t>
  </si>
  <si>
    <t xml:space="preserve">Backup &amp; Recovery Test Record</t>
  </si>
  <si>
    <t xml:space="preserve">§10</t>
  </si>
  <si>
    <t xml:space="preserve">CTL-007 — Maintain tested backup and recovery procedures for critical production AI systems (ISO 27001 A.5.30)</t>
  </si>
  <si>
    <t xml:space="preserve">AST-001 (protected system); AST-009 (backup source); AST-010 (recovery environment)</t>
  </si>
  <si>
    <t xml:space="preserve">RSK-007 — Infrastructure outage exploits inadequate recovery testing causing prolonged service disruption to AI Disaster Recovery Cloud Environment (primary risk; direct fit — no coverage gap claimed)</t>
  </si>
  <si>
    <t xml:space="preserve">OBS-01 — RTO/RPO Metrics Documentation (Low / Process-Improvement Observation)</t>
  </si>
  <si>
    <t xml:space="preserve">Within the simulated test scenario, recovery testing is represented as successfully completed; however, the test-record design does not include a standardized field for documenting formally approved RTO / RPO targets alongside measured recovery outcomes.</t>
  </si>
  <si>
    <t xml:space="preserve">Add standardized RTO / RPO target and actual-result fields to future quarterly recovery test records to strengthen repeatability, trend analysis, and management reporting.</t>
  </si>
  <si>
    <t xml:space="preserve">Control-level evidence list EVD-042 to EVD-049 (Evidence Requests tab); the source does not map items to this record</t>
  </si>
  <si>
    <t xml:space="preserve">Confirm the enhanced RTO / RPO fields are present in the next quarterly recovery test record.</t>
  </si>
  <si>
    <t xml:space="preserve">None; this is a process-improvement observation and does not affect the Effective rating.</t>
  </si>
  <si>
    <t xml:space="preserve">FRT-016</t>
  </si>
  <si>
    <t xml:space="preserve">LOG-01</t>
  </si>
  <si>
    <t xml:space="preserve">MAL-LMA-008</t>
  </si>
  <si>
    <t xml:space="preserve">Security Logging &amp; Monitoring Control Assessment</t>
  </si>
  <si>
    <t xml:space="preserve">CTL-008 — Centralize and review security logs for suspicious activity affecting production AI systems (CIS 8)</t>
  </si>
  <si>
    <t xml:space="preserve">AST-001, AST-002, AST-007 (log sources); central logging capability has no distinct asset</t>
  </si>
  <si>
    <t xml:space="preserve">RSK-006 — nearest register risk, with mapping limitation (network-access risk); RSK-002 and RSK-003 noted as detection scenarios only</t>
  </si>
  <si>
    <t xml:space="preserve">LOG-01 — Log Source Coverage Gap (Finding)</t>
  </si>
  <si>
    <t xml:space="preserve">The assessment scenario indicates that not all in-scope production AI systems consistently forward their security logs to the central logging capability; at least one in-scope source appears incompletely onboarded, so some security events may not reach central logging for review.</t>
  </si>
  <si>
    <t xml:space="preserve">Security Operations Team (central logging), with the relevant log-source / asset owners</t>
  </si>
  <si>
    <t xml:space="preserve">Reconcile the in-scope production AI systems to the central logging source inventory; onboard any missing source; add a periodic coverage-completeness check that flags any in-scope system not forwarding logs.</t>
  </si>
  <si>
    <t xml:space="preserve">Control-level evidence list EVD-050 to EVD-057 (Evidence Requests tab); the source does not map items to this record</t>
  </si>
  <si>
    <t xml:space="preserve">Re-confirm source-to-inventory reconciliation and coverage evidence at the next review.</t>
  </si>
  <si>
    <t xml:space="preserve">Conclusion driven primarily by LOG-01 and LOG-02 (Partially Effective)</t>
  </si>
  <si>
    <t xml:space="preserve">FRT-017</t>
  </si>
  <si>
    <t xml:space="preserve">LOG-02</t>
  </si>
  <si>
    <t xml:space="preserve">LOG-02 — Log Review / Alert-Triage Timeliness (Finding)</t>
  </si>
  <si>
    <t xml:space="preserve">The assessment scenario indicates that although logs are centralized, continuous review and alert triage are not consistently performed within a defined timeframe, and alerting thresholds for AI-relevant suspicious activity are not fully established.</t>
  </si>
  <si>
    <t xml:space="preserve">Define review / triage timeframes and alerting thresholds for suspicious activity on in-scope systems; document who reviews, how often, and escalation paths; report review / triage timeliness metrics.</t>
  </si>
  <si>
    <t xml:space="preserve">Review triage-timeliness metrics and alerting configuration at the next review.</t>
  </si>
  <si>
    <t xml:space="preserve">FRT-018</t>
  </si>
  <si>
    <t xml:space="preserve">LOG-03</t>
  </si>
  <si>
    <t xml:space="preserve">LOG-03 — AI-Specific Detection Use-Case Maturity (Observation)</t>
  </si>
  <si>
    <t xml:space="preserve">The assessment scenario indicates that general security monitoring is established, but AI-specific detection use cases, such as anomalous model API access, unusual model-administration activity, or unexpected access patterns affecting AI data repositories, are not yet formally defined across the monitoring program.</t>
  </si>
  <si>
    <t xml:space="preserve">Define and document prioritized AI-specific detection use cases for critical and high-classification production AI systems and incorporate them into the monitoring program’s detection and review procedures.</t>
  </si>
  <si>
    <t xml:space="preserve">Confirm defined AI-specific detection use-cases and their incorporation at a subsequent review.</t>
  </si>
  <si>
    <t xml:space="preserve">None independently. The Partially Effective conclusion is driven primarily by LOG-01 and LOG-02.</t>
  </si>
  <si>
    <t xml:space="preserve">FRT-019</t>
  </si>
  <si>
    <t xml:space="preserve">AST-001, AST-002, AST-007 (log sources in scope)</t>
  </si>
  <si>
    <t xml:space="preserve">None in register (coverage gap); nearest related: RSK-006</t>
  </si>
  <si>
    <t xml:space="preserve">Risk-Register Coverage Gap — Undetected Suspicious Activity on Production AI Systems</t>
  </si>
  <si>
    <t xml:space="preserve">No current Risk Register entry specifically represents the risk that suspicious or malicious activity affecting production AI systems remains undetected because security logs are incomplete, not centralized, or inadequately reviewed.</t>
  </si>
  <si>
    <t xml:space="preserve">Security Operations Team (proposed owner of the recommended risk record)</t>
  </si>
  <si>
    <t xml:space="preserve">Add such a risk (owner Security Operations Team) and link CTL-008 to it.</t>
  </si>
  <si>
    <t xml:space="preserve">FRT-020</t>
  </si>
  <si>
    <t xml:space="preserve">§3</t>
  </si>
  <si>
    <t xml:space="preserve">None — no distinct central logging / SIEM platform in the Asset Register</t>
  </si>
  <si>
    <t xml:space="preserve">None stated</t>
  </si>
  <si>
    <t xml:space="preserve">Asset-Register Traceability Observation — No Central Logging Platform Identified</t>
  </si>
  <si>
    <t xml:space="preserve">CTL-008 requires centralized security logging, but the current Asset Register does not identify a distinct central logging or SIEM platform. This assessment therefore evaluates the centralized logging capability as a control function operated by the Security Operations Team without assigning an unsupported platform or asset identifier.</t>
  </si>
  <si>
    <t xml:space="preserve">Asset-Register Observation</t>
  </si>
  <si>
    <t xml:space="preserve">Consider adding the central logging platform to the Asset Register if it is maintained as a separately managed information asset.</t>
  </si>
  <si>
    <t xml:space="preserve">FRT-021</t>
  </si>
  <si>
    <t xml:space="preserve">APO-01</t>
  </si>
  <si>
    <t xml:space="preserve">MAL-CAP-009</t>
  </si>
  <si>
    <t xml:space="preserve">Compliance Assessment Plan &amp; Evidence Request</t>
  </si>
  <si>
    <t xml:space="preserve">§11</t>
  </si>
  <si>
    <t xml:space="preserve">CTL-009 — Perform documented compliance assessments of high-impact AI systems against applicable requirements (ISO 27001 A.5.31)</t>
  </si>
  <si>
    <t xml:space="preserve">Not Tested</t>
  </si>
  <si>
    <t xml:space="preserve">AST-001 (primary), AST-002 (supporting), AST-006 (reference only) — per MAL-CAP-009 §3</t>
  </si>
  <si>
    <t xml:space="preserve">No dedicated risk in register; nearest (imperfect) risk referenced by title only: “Incomplete validation exploits insufficient testing coverage causing defective models to advance from Pre-Production AI Validation Environment”</t>
  </si>
  <si>
    <t xml:space="preserve">APO-01 — Incomplete Control Documentation</t>
  </si>
  <si>
    <t xml:space="preserve">The source control record does not expose a description or rationale, and the register does not define “high-impact AI system.”</t>
  </si>
  <si>
    <t xml:space="preserve">Planning Observation</t>
  </si>
  <si>
    <t xml:space="preserve">Confirm the authoritative control description, high-impact definition, and expected evidence before testing.</t>
  </si>
  <si>
    <t xml:space="preserve">Not specified in source — PBC list (EVD-058 to EVD-069) is control-level; the source does not map PBC items to planning observations</t>
  </si>
  <si>
    <t xml:space="preserve">None — planning observation, not a finding or control deficiency; no effectiveness conclusion drawn (Not Concluded).</t>
  </si>
  <si>
    <t xml:space="preserve">FRT-022</t>
  </si>
  <si>
    <t xml:space="preserve">APO-02</t>
  </si>
  <si>
    <t xml:space="preserve">APO-02 — Responsible AI Policy Not Finalized</t>
  </si>
  <si>
    <t xml:space="preserve">POL-006 (Responsible AI and Human Oversight Policy) has a source status of Under Review.</t>
  </si>
  <si>
    <t xml:space="preserve">Confirm the approved version and status before using it as formal assessment criteria.</t>
  </si>
  <si>
    <t xml:space="preserve">FRT-023</t>
  </si>
  <si>
    <t xml:space="preserve">APO-03</t>
  </si>
  <si>
    <t xml:space="preserve">§11 (see also §6.2)</t>
  </si>
  <si>
    <t xml:space="preserve">APO-03 — Compliance Risk Coverage Gap</t>
  </si>
  <si>
    <t xml:space="preserve">No dedicated risk addresses failure to assess high-impact AI systems against applicable requirements.</t>
  </si>
  <si>
    <t xml:space="preserve">GRC Team (proposed owner of the recommended risk record)</t>
  </si>
  <si>
    <t xml:space="preserve">Consider a dedicated compliance risk owned by the GRC Team, linked to CTL-009. Carry to the Findings &amp; Remediation Tracker.</t>
  </si>
  <si>
    <t xml:space="preserve">FRT-024</t>
  </si>
  <si>
    <t xml:space="preserve">APO-04</t>
  </si>
  <si>
    <t xml:space="preserve">§11 (see also §6.3)</t>
  </si>
  <si>
    <t xml:space="preserve">APO-04 — Compliance Risk Appetite Coverage</t>
  </si>
  <si>
    <t xml:space="preserve">No dedicated Compliance appetite statement is represented in the available risk-appetite records.</t>
  </si>
  <si>
    <t xml:space="preserve">Confirm whether compliance risk is governed under another approved appetite category or whether a dedicated statement should be established.</t>
  </si>
  <si>
    <t xml:space="preserve">FRT-025</t>
  </si>
  <si>
    <t xml:space="preserve">VRA-01</t>
  </si>
  <si>
    <t xml:space="preserve">MAL-VRA-010</t>
  </si>
  <si>
    <t xml:space="preserve">Third-Party AI Vendor Risk Assessment</t>
  </si>
  <si>
    <t xml:space="preserve">CTL-010 — Assess security and privacy risks before approving third-party AI vendors and services (SOC 2 CC9.2)</t>
  </si>
  <si>
    <t xml:space="preserve">Ineffective</t>
  </si>
  <si>
    <t xml:space="preserve">None established in source (no register asset is a vendor; AST-001 would be relevant only if a third-party AI service accessed it — no such relationship is asserted)</t>
  </si>
  <si>
    <t xml:space="preserve">No primary risk in register (coverage gap, §5.1); no vendor-to-risk linkage established in source</t>
  </si>
  <si>
    <t xml:space="preserve">VRA-01 — Pre-Approval Assessment Not Consistently Performed and Documented (Finding)</t>
  </si>
  <si>
    <t xml:space="preserve">The simulated scenario indicates that third-party AI vendors and services subject to approval during the assessment period can proceed to approval without a completed and documented security and privacy risk assessment, or with the assessment completed after the approval decision. (Simulated.)</t>
  </si>
  <si>
    <t xml:space="preserve">Third-Party Risk Management Team, with Privacy and Compliance Team support</t>
  </si>
  <si>
    <t xml:space="preserve">Establish a mandatory pre-approval gate under which no vendor or service is approved or onboarded without a completed, documented security and privacy assessment and recorded sign-off. Assess retrospectively any approved vendors and services that lack an assessment, starting with those handling sensitive data.</t>
  </si>
  <si>
    <t xml:space="preserve">Source-stated via attribute mapping: EVD-074 (EV-05), EVD-075 (EV-06), EVD-076 (EV-07), EVD-077 (EV-08), EVD-078 (EV-09), EVD-079 (EV-10), EVD-080 (EV-11), EVD-081 (EV-12)</t>
  </si>
  <si>
    <t xml:space="preserve">Re-perform against the approval population for the next assessment period and confirm every approval is preceded by a completed assessment.</t>
  </si>
  <si>
    <t xml:space="preserve">Primary driver of the Ineffective conclusion.</t>
  </si>
  <si>
    <t xml:space="preserve">FRT-026</t>
  </si>
  <si>
    <t xml:space="preserve">VRA-02</t>
  </si>
  <si>
    <t xml:space="preserve">VRA-02 — Vendor Risk Assessment Criteria and Tiering Not Defined (Finding)</t>
  </si>
  <si>
    <t xml:space="preserve">The simulated scenario indicates that no defined vendor risk-tiering methodology or consistent security and privacy assessment criteria for AI vendors and services are in place, so assessment depth is not set by vendor criticality or data sensitivity. (Simulated.)</t>
  </si>
  <si>
    <t xml:space="preserve">Third-Party Risk Management Team, with Privacy and Compliance Team and Information Security Team consulted</t>
  </si>
  <si>
    <t xml:space="preserve">Define a vendor tiering methodology and minimum security and privacy assessment criteria for AI services (for example, data handling, model and data-use terms, incident notification, and sub-processor use), with assessment depth tied to tier.</t>
  </si>
  <si>
    <t xml:space="preserve">Source-stated via attribute mapping: EVD-072 (EV-03), EVD-073 (EV-04)</t>
  </si>
  <si>
    <t xml:space="preserve">Confirm the approved methodology and criteria are applied to new approval requests at the next assessment.</t>
  </si>
  <si>
    <t xml:space="preserve">Contributing deficiency.</t>
  </si>
  <si>
    <t xml:space="preserve">FRT-027</t>
  </si>
  <si>
    <t xml:space="preserve">VRA-03</t>
  </si>
  <si>
    <t xml:space="preserve">VRA-03 — Third-Party Governance Documentation and Inventory Gap (Finding)</t>
  </si>
  <si>
    <t xml:space="preserve">The simulated scenario indicates that third-party AI governance is not supported by a documented third-party risk policy within the available Policy Register, and the available source records do not provide a vendor/service inventory from which the population subject to CTL-010 can be established.</t>
  </si>
  <si>
    <t xml:space="preserve">Third-Party Risk Management Team, with GRC Team support for policy governance</t>
  </si>
  <si>
    <t xml:space="preserve">Establish documented third-party AI risk governance requirements and maintain an authoritative inventory of third-party AI vendors and services subject to security and privacy assessment.</t>
  </si>
  <si>
    <t xml:space="preserve">Source-stated via attribute mapping: EVD-070 (EV-01), EVD-071 (EV-02), EVD-074 (EV-05)</t>
  </si>
  <si>
    <t xml:space="preserve">Confirm an approved policy and an inventory reconciled to the approval population.</t>
  </si>
  <si>
    <t xml:space="preserve">Contributing design / governance deficiency.</t>
  </si>
  <si>
    <t xml:space="preserve">FRT-028</t>
  </si>
  <si>
    <t xml:space="preserve">VRA-04</t>
  </si>
  <si>
    <t xml:space="preserve">VRA-04 — Ongoing Third-Party Monitoring Maturity (Observation)</t>
  </si>
  <si>
    <t xml:space="preserve">The simulated scenario indicates that monitoring and reassessment of vendors and services after approval are not clearly defined beyond KRI-006 reporting. (Simulated.)</t>
  </si>
  <si>
    <t xml:space="preserve">Define reassessment triggers and frequency by vendor tier and link them to KRI-006 reporting.</t>
  </si>
  <si>
    <t xml:space="preserve">Source-stated via attribute mapping: EVD-082 (EV-13)</t>
  </si>
  <si>
    <t xml:space="preserve">Confirm defined reassessment triggers at a subsequent assessment.</t>
  </si>
  <si>
    <t xml:space="preserve">None independently.</t>
  </si>
  <si>
    <t xml:space="preserve">FRT-029</t>
  </si>
  <si>
    <t xml:space="preserve">§5.3</t>
  </si>
  <si>
    <t xml:space="preserve">None established in source</t>
  </si>
  <si>
    <t xml:space="preserve">None in register (coverage gap)</t>
  </si>
  <si>
    <t xml:space="preserve">Risk-Register Coverage Gap — Third-Party AI Vendor and Service Risk</t>
  </si>
  <si>
    <t xml:space="preserve">The Risk Register does not contain a risk specifically addressing failure to identify, assess, approve, or monitor security and privacy risks associated with third-party AI vendors and services.</t>
  </si>
  <si>
    <t xml:space="preserve">Third-Party Risk Management Team (proposed owner of the recommended risk record)</t>
  </si>
  <si>
    <t xml:space="preserve">Establish a dedicated third-party risk owned by the Third-Party Risk Management Team and link CTL-010 as a mitigating control. No identifier is assigned to this proposed risk because it is not in the register.</t>
  </si>
  <si>
    <t xml:space="preserve">Control-level evidence list EVD-070 to EVD-083 (Evidence Requests tab); the source does not map items to this record</t>
  </si>
  <si>
    <t xml:space="preserve">Described in source as a coverage gap carried to the consolidated tracker; no rating impact stated.</t>
  </si>
  <si>
    <t xml:space="preserve">One row per source recommendation. No actions, dates or completions have been added beyond what the source documents state.</t>
  </si>
  <si>
    <t xml:space="preserve">Action ID</t>
  </si>
  <si>
    <t xml:space="preserve">Linked Tracker ID</t>
  </si>
  <si>
    <t xml:space="preserve">Linked Classification</t>
  </si>
  <si>
    <t xml:space="preserve">Linked Severity (As Documented)</t>
  </si>
  <si>
    <t xml:space="preserve">Action Description (As Documented)</t>
  </si>
  <si>
    <t xml:space="preserve">Action Owner (As Documented)</t>
  </si>
  <si>
    <t xml:space="preserve">Action Status (As Documented)</t>
  </si>
  <si>
    <t xml:space="preserve">Validation Step (Source)</t>
  </si>
  <si>
    <t xml:space="preserve">Completion Evidence Received</t>
  </si>
  <si>
    <t xml:space="preserve">REM-001</t>
  </si>
  <si>
    <t xml:space="preserve">None provided</t>
  </si>
  <si>
    <t xml:space="preserve">REM-002</t>
  </si>
  <si>
    <t xml:space="preserve">REM-003</t>
  </si>
  <si>
    <t xml:space="preserve">REM-004</t>
  </si>
  <si>
    <t xml:space="preserve">Account disablement for contractor test identity C-207 — as reported in the source status field (“account disabled”). Not a separate recommendation in the source.</t>
  </si>
  <si>
    <t xml:space="preserve">Remediated (Simulated) — account disabled</t>
  </si>
  <si>
    <t xml:space="preserve">Reported Remediated (Simulated)</t>
  </si>
  <si>
    <t xml:space="preserve">REM-005</t>
  </si>
  <si>
    <t xml:space="preserve">Open — underlying process fix (per source status: “underlying process fix Open”)</t>
  </si>
  <si>
    <t xml:space="preserve">REM-006</t>
  </si>
  <si>
    <t xml:space="preserve">REM-007</t>
  </si>
  <si>
    <t xml:space="preserve">REM-008</t>
  </si>
  <si>
    <t xml:space="preserve">REM-009</t>
  </si>
  <si>
    <t xml:space="preserve">REM-010</t>
  </si>
  <si>
    <t xml:space="preserve">REM-011</t>
  </si>
  <si>
    <t xml:space="preserve">REM-012</t>
  </si>
  <si>
    <t xml:space="preserve">REM-013</t>
  </si>
  <si>
    <t xml:space="preserve">REM-014</t>
  </si>
  <si>
    <t xml:space="preserve">REM-015</t>
  </si>
  <si>
    <t xml:space="preserve">REM-016</t>
  </si>
  <si>
    <t xml:space="preserve">REM-017</t>
  </si>
  <si>
    <t xml:space="preserve">REM-018</t>
  </si>
  <si>
    <t xml:space="preserve">REM-019</t>
  </si>
  <si>
    <t xml:space="preserve">REM-020</t>
  </si>
  <si>
    <t xml:space="preserve">REM-021</t>
  </si>
  <si>
    <t xml:space="preserve">REM-022</t>
  </si>
  <si>
    <t xml:space="preserve">REM-023</t>
  </si>
  <si>
    <t xml:space="preserve">REM-024</t>
  </si>
  <si>
    <t xml:space="preserve">REM-025</t>
  </si>
  <si>
    <t xml:space="preserve">REM-026</t>
  </si>
  <si>
    <t xml:space="preserve">REM-027</t>
  </si>
  <si>
    <t xml:space="preserve">REM-028</t>
  </si>
  <si>
    <t xml:space="preserve">REM-029</t>
  </si>
  <si>
    <t xml:space="preserve">REM-030</t>
  </si>
  <si>
    <t xml:space="preserve">Evidence requirements are kept separate from findings. A missing evidence item is not, by itself, a control deficiency.</t>
  </si>
  <si>
    <t xml:space="preserve">Evidence Tracker ID</t>
  </si>
  <si>
    <t xml:space="preserve">Original Evidence ID</t>
  </si>
  <si>
    <t xml:space="preserve">Evidence Item (As Documented)</t>
  </si>
  <si>
    <t xml:space="preserve">Source Status (As Documented)</t>
  </si>
  <si>
    <t xml:space="preserve">Requested From (As Documented)</t>
  </si>
  <si>
    <t xml:space="preserve">Linked Attribute (Source)</t>
  </si>
  <si>
    <t xml:space="preserve">Linked Record(s) — Source-Stated</t>
  </si>
  <si>
    <t xml:space="preserve">Link Basis</t>
  </si>
  <si>
    <t xml:space="preserve">Evidence Received</t>
  </si>
  <si>
    <t xml:space="preserve">Treated as Control Deficiency?</t>
  </si>
  <si>
    <t xml:space="preserve">EVD-001</t>
  </si>
  <si>
    <t xml:space="preserve">§8</t>
  </si>
  <si>
    <t xml:space="preserve">CTL-mu0tgvxq (ISO 27001 A.5.12)</t>
  </si>
  <si>
    <t xml:space="preserve">Data quality profiling report</t>
  </si>
  <si>
    <t xml:space="preserve">Evidence Required — Not Provided (Simulated Requirement)</t>
  </si>
  <si>
    <t xml:space="preserve">Control-level only</t>
  </si>
  <si>
    <t xml:space="preserve">Source does not map this item to a specific finding</t>
  </si>
  <si>
    <t xml:space="preserve">No</t>
  </si>
  <si>
    <t xml:space="preserve">No — evidence requirement only</t>
  </si>
  <si>
    <t xml:space="preserve">EVD-002</t>
  </si>
  <si>
    <t xml:space="preserve">Bias / representativeness assessment summary</t>
  </si>
  <si>
    <t xml:space="preserve">EVD-003</t>
  </si>
  <si>
    <t xml:space="preserve">Data lineage documentation</t>
  </si>
  <si>
    <t xml:space="preserve">EVD-004</t>
  </si>
  <si>
    <t xml:space="preserve">Data classification report</t>
  </si>
  <si>
    <t xml:space="preserve">EVD-005</t>
  </si>
  <si>
    <t xml:space="preserve">Access-review confirmation (authorized-personnel listing)</t>
  </si>
  <si>
    <t xml:space="preserve">EVD-006</t>
  </si>
  <si>
    <t xml:space="preserve">§12</t>
  </si>
  <si>
    <t xml:space="preserve">CTL-mu1nugzu (NIST CSF PR.AA-05)</t>
  </si>
  <si>
    <t xml:space="preserve">Current IAM entitlement listing (system export)</t>
  </si>
  <si>
    <t xml:space="preserve">EVD-007</t>
  </si>
  <si>
    <t xml:space="preserve">Authoritative role-to-entitlement mapping</t>
  </si>
  <si>
    <t xml:space="preserve">EVD-008</t>
  </si>
  <si>
    <t xml:space="preserve">HR and vendor joiner/mover/leaver change report (Q3 2026)</t>
  </si>
  <si>
    <t xml:space="preserve">EVD-009</t>
  </si>
  <si>
    <t xml:space="preserve">Access-request approval records</t>
  </si>
  <si>
    <t xml:space="preserve">EVD-010</t>
  </si>
  <si>
    <t xml:space="preserve">Deprovisioning tickets and timestamps</t>
  </si>
  <si>
    <t xml:space="preserve">EVD-011</t>
  </si>
  <si>
    <t xml:space="preserve">Privileged-access activity logs</t>
  </si>
  <si>
    <t xml:space="preserve">EVD-012</t>
  </si>
  <si>
    <t xml:space="preserve">CTL-mu1nvfmw (SOC 2 CC8.1)</t>
  </si>
  <si>
    <t xml:space="preserve">Change-management records / tickets for the sampled changes</t>
  </si>
  <si>
    <t xml:space="preserve">EVD-013</t>
  </si>
  <si>
    <t xml:space="preserve">Pre-deployment test results</t>
  </si>
  <si>
    <t xml:space="preserve">EVD-014</t>
  </si>
  <si>
    <t xml:space="preserve">Approval records</t>
  </si>
  <si>
    <t xml:space="preserve">EVD-015</t>
  </si>
  <si>
    <t xml:space="preserve">Deployment logs / timestamps</t>
  </si>
  <si>
    <t xml:space="preserve">EVD-016</t>
  </si>
  <si>
    <t xml:space="preserve">Segregation-of-duties / role configuration</t>
  </si>
  <si>
    <t xml:space="preserve">EVD-017</t>
  </si>
  <si>
    <t xml:space="preserve">Post-deployment verification records</t>
  </si>
  <si>
    <t xml:space="preserve">EVD-018</t>
  </si>
  <si>
    <t xml:space="preserve">Population listing of production model changes for the assessment period</t>
  </si>
  <si>
    <t xml:space="preserve">EVD-019</t>
  </si>
  <si>
    <t xml:space="preserve">CTL-004 (CIS Controls v8, Control 6)</t>
  </si>
  <si>
    <t xml:space="preserve">Identity provider / MFA enforcement policy export for privileged roles</t>
  </si>
  <si>
    <t xml:space="preserve">EVD-020</t>
  </si>
  <si>
    <t xml:space="preserve">Privileged role and entitlement definitions per platform (cloud IAM, server, application, data-store, network device)</t>
  </si>
  <si>
    <t xml:space="preserve">EVD-021</t>
  </si>
  <si>
    <t xml:space="preserve">Privileged access request and approval records</t>
  </si>
  <si>
    <t xml:space="preserve">EVD-022</t>
  </si>
  <si>
    <t xml:space="preserve">PAM / just-in-time access configuration and elevation-grant records (where applicable)</t>
  </si>
  <si>
    <t xml:space="preserve">EVD-023</t>
  </si>
  <si>
    <t xml:space="preserve">Break-glass / emergency-access procedure and usage records</t>
  </si>
  <si>
    <t xml:space="preserve">EVD-024</t>
  </si>
  <si>
    <t xml:space="preserve">Privileged access recertification records</t>
  </si>
  <si>
    <t xml:space="preserve">EVD-025</t>
  </si>
  <si>
    <t xml:space="preserve">Provisioning / deprovisioning (joiner-mover-leaver) records</t>
  </si>
  <si>
    <t xml:space="preserve">EVD-026</t>
  </si>
  <si>
    <t xml:space="preserve">Privileged authentication and administrative-action logs (central log management)</t>
  </si>
  <si>
    <t xml:space="preserve">EVD-027</t>
  </si>
  <si>
    <t xml:space="preserve">Exception register entries for deviations from this standard</t>
  </si>
  <si>
    <t xml:space="preserve">EVD-028</t>
  </si>
  <si>
    <t xml:space="preserve">§14</t>
  </si>
  <si>
    <t xml:space="preserve">CTL-005 (NIST CSF DE.CM-09)</t>
  </si>
  <si>
    <t xml:space="preserve">Authenticated vulnerability-scan reports for in-scope production AI APIs (monthly)</t>
  </si>
  <si>
    <t xml:space="preserve">EVD-029</t>
  </si>
  <si>
    <t xml:space="preserve">API / endpoint inventory reconciled to scan scope</t>
  </si>
  <si>
    <t xml:space="preserve">EVD-030</t>
  </si>
  <si>
    <t xml:space="preserve">Vulnerability findings register with severity ratings</t>
  </si>
  <si>
    <t xml:space="preserve">EVD-031</t>
  </si>
  <si>
    <t xml:space="preserve">Remediation tickets with timestamps and SLA tracking</t>
  </si>
  <si>
    <t xml:space="preserve">EVD-032</t>
  </si>
  <si>
    <t xml:space="preserve">Retest / closure evidence for remediated findings</t>
  </si>
  <si>
    <t xml:space="preserve">EVD-033</t>
  </si>
  <si>
    <t xml:space="preserve">AI-specific security test cases and results (where applicable)</t>
  </si>
  <si>
    <t xml:space="preserve">EVD-034</t>
  </si>
  <si>
    <t xml:space="preserve">Vulnerability-management procedure and remediation-SLA policy</t>
  </si>
  <si>
    <t xml:space="preserve">EVD-035</t>
  </si>
  <si>
    <t xml:space="preserve">§15</t>
  </si>
  <si>
    <t xml:space="preserve">CTL-006 (GDPR Art.5)</t>
  </si>
  <si>
    <t xml:space="preserve">Data inventory / field-level data dictionary for each in-scope dataset</t>
  </si>
  <si>
    <t xml:space="preserve">EVD-036</t>
  </si>
  <si>
    <t xml:space="preserve">Records of processing activities (ROPA) for the in-scope processing</t>
  </si>
  <si>
    <t xml:space="preserve">EVD-037</t>
  </si>
  <si>
    <t xml:space="preserve">Quarterly data-minimization review records and necessity justifications</t>
  </si>
  <si>
    <t xml:space="preserve">EVD-038</t>
  </si>
  <si>
    <t xml:space="preserve">Masking / pseudonymization configuration and safeguard-application records</t>
  </si>
  <si>
    <t xml:space="preserve">EVD-039</t>
  </si>
  <si>
    <t xml:space="preserve">Retention schedule and deletion / enforcement evidence</t>
  </si>
  <si>
    <t xml:space="preserve">EVD-040</t>
  </si>
  <si>
    <t xml:space="preserve">Lawful-basis / purpose documentation and data-subject transparency notices</t>
  </si>
  <si>
    <t xml:space="preserve">EVD-041</t>
  </si>
  <si>
    <t xml:space="preserve">Special-category (clinical) data safeguards and any applicable authorization / consent records</t>
  </si>
  <si>
    <t xml:space="preserve">EVD-042</t>
  </si>
  <si>
    <t xml:space="preserve">CTL-007 (ISO 27001 A.5.30)</t>
  </si>
  <si>
    <t xml:space="preserve">Backup job completion records / schedule</t>
  </si>
  <si>
    <t xml:space="preserve">EVD-043</t>
  </si>
  <si>
    <t xml:space="preserve">Backup integrity / validation reports (e.g., checksums)</t>
  </si>
  <si>
    <t xml:space="preserve">EVD-044</t>
  </si>
  <si>
    <t xml:space="preserve">Restore logs from the recovery test</t>
  </si>
  <si>
    <t xml:space="preserve">EVD-045</t>
  </si>
  <si>
    <t xml:space="preserve">Service-recovery / failover records for the recovery environment</t>
  </si>
  <si>
    <t xml:space="preserve">EVD-046</t>
  </si>
  <si>
    <t xml:space="preserve">Post-restore data-validation results</t>
  </si>
  <si>
    <t xml:space="preserve">EVD-047</t>
  </si>
  <si>
    <t xml:space="preserve">Measured recovery-time (RTO) and recovery-point (RPO) results against defined targets</t>
  </si>
  <si>
    <t xml:space="preserve">EVD-048</t>
  </si>
  <si>
    <t xml:space="preserve">Backup &amp; recovery procedure and DR runbook</t>
  </si>
  <si>
    <t xml:space="preserve">EVD-049</t>
  </si>
  <si>
    <t xml:space="preserve">Backup retention / rotation policy and evidence</t>
  </si>
  <si>
    <t xml:space="preserve">EVD-050</t>
  </si>
  <si>
    <t xml:space="preserve">CTL-008 (CIS Controls v8, Control 8)</t>
  </si>
  <si>
    <t xml:space="preserve">Central logging / SIEM configuration and log-source inventory</t>
  </si>
  <si>
    <t xml:space="preserve">EVD-051</t>
  </si>
  <si>
    <t xml:space="preserve">Log-forwarding / collection configuration for in-scope systems</t>
  </si>
  <si>
    <t xml:space="preserve">EVD-052</t>
  </si>
  <si>
    <t xml:space="preserve">Sample centralized log records demonstrating coverage</t>
  </si>
  <si>
    <t xml:space="preserve">EVD-053</t>
  </si>
  <si>
    <t xml:space="preserve">Detection / alerting rule configuration and thresholds</t>
  </si>
  <si>
    <t xml:space="preserve">EVD-054</t>
  </si>
  <si>
    <t xml:space="preserve">Alert review / triage records and timeliness metrics</t>
  </si>
  <si>
    <t xml:space="preserve">EVD-055</t>
  </si>
  <si>
    <t xml:space="preserve">Log retention configuration and evidence</t>
  </si>
  <si>
    <t xml:space="preserve">EVD-056</t>
  </si>
  <si>
    <t xml:space="preserve">Documented audit-log management and monitoring procedures</t>
  </si>
  <si>
    <t xml:space="preserve">EVD-057</t>
  </si>
  <si>
    <t xml:space="preserve">AI-specific detection use-case definitions (where applicable)</t>
  </si>
  <si>
    <t xml:space="preserve">EVD-058</t>
  </si>
  <si>
    <t xml:space="preserve">PBC-01</t>
  </si>
  <si>
    <t xml:space="preserve">CTL-009 (ISO 27001 A.5.31)</t>
  </si>
  <si>
    <t xml:space="preserve">High-impact AI system inventory and classification methodology</t>
  </si>
  <si>
    <t xml:space="preserve">GRC Team / AI Governance Team</t>
  </si>
  <si>
    <t xml:space="preserve">Planned attribute A1</t>
  </si>
  <si>
    <t xml:space="preserve">None (CAP-009 has no findings; planning observations are not mapped to PBC items)</t>
  </si>
  <si>
    <t xml:space="preserve">Source-stated attribute link (MAL-CAP-009 §9, §12)</t>
  </si>
  <si>
    <t xml:space="preserve">EVD-059</t>
  </si>
  <si>
    <t xml:space="preserve">PBC-02</t>
  </si>
  <si>
    <t xml:space="preserve">Current applicable-requirements register</t>
  </si>
  <si>
    <t xml:space="preserve">Planned attribute A2</t>
  </si>
  <si>
    <t xml:space="preserve">EVD-060</t>
  </si>
  <si>
    <t xml:space="preserve">PBC-03</t>
  </si>
  <si>
    <t xml:space="preserve">Prior annual compliance assessment(s), if any</t>
  </si>
  <si>
    <t xml:space="preserve">Planned attribute A3, A8</t>
  </si>
  <si>
    <t xml:space="preserve">EVD-061</t>
  </si>
  <si>
    <t xml:space="preserve">PBC-04</t>
  </si>
  <si>
    <t xml:space="preserve">Approved POL-001, POL-002, and the applicable final Responsible AI policy</t>
  </si>
  <si>
    <t xml:space="preserve">AI Governance Team / Data Governance Team</t>
  </si>
  <si>
    <t xml:space="preserve">Planned attribute A4</t>
  </si>
  <si>
    <t xml:space="preserve">EVD-062</t>
  </si>
  <si>
    <t xml:space="preserve">PBC-05</t>
  </si>
  <si>
    <t xml:space="preserve">System-specific compliance and control mappings</t>
  </si>
  <si>
    <t xml:space="preserve">GRC Team / Clinical AI &amp; ML Team</t>
  </si>
  <si>
    <t xml:space="preserve">EVD-063</t>
  </si>
  <si>
    <t xml:space="preserve">PBC-06</t>
  </si>
  <si>
    <t xml:space="preserve">Assessment checklists and workpapers</t>
  </si>
  <si>
    <t xml:space="preserve">Planned attribute A3, A4</t>
  </si>
  <si>
    <t xml:space="preserve">EVD-064</t>
  </si>
  <si>
    <t xml:space="preserve">PBC-07</t>
  </si>
  <si>
    <t xml:space="preserve">Identified compliance gaps and remediation records</t>
  </si>
  <si>
    <t xml:space="preserve">GRC Team / system owners</t>
  </si>
  <si>
    <t xml:space="preserve">Planned attribute A5</t>
  </si>
  <si>
    <t xml:space="preserve">EVD-065</t>
  </si>
  <si>
    <t xml:space="preserve">PBC-08</t>
  </si>
  <si>
    <t xml:space="preserve">Governance or committee reporting showing assessment results</t>
  </si>
  <si>
    <t xml:space="preserve">Planned attribute A6</t>
  </si>
  <si>
    <t xml:space="preserve">EVD-066</t>
  </si>
  <si>
    <t xml:space="preserve">PBC-09</t>
  </si>
  <si>
    <t xml:space="preserve">Evidence of management review and sign-off</t>
  </si>
  <si>
    <t xml:space="preserve">GRC Team management</t>
  </si>
  <si>
    <t xml:space="preserve">EVD-067</t>
  </si>
  <si>
    <t xml:space="preserve">PBC-10</t>
  </si>
  <si>
    <t xml:space="preserve">Material-change records showing whether reassessment was triggered</t>
  </si>
  <si>
    <t xml:space="preserve">Clinical AI &amp; ML Team / Machine Learning Engineering</t>
  </si>
  <si>
    <t xml:space="preserve">Planned attribute A7</t>
  </si>
  <si>
    <t xml:space="preserve">EVD-068</t>
  </si>
  <si>
    <t xml:space="preserve">PBC-11</t>
  </si>
  <si>
    <t xml:space="preserve">Evidence supporting applicable legal and regulatory determinations</t>
  </si>
  <si>
    <t xml:space="preserve">GRC Team / Privacy and Compliance Team</t>
  </si>
  <si>
    <t xml:space="preserve">EVD-069</t>
  </si>
  <si>
    <t xml:space="preserve">PBC-12</t>
  </si>
  <si>
    <t xml:space="preserve">Prior-period follow-up or closure evidence</t>
  </si>
  <si>
    <t xml:space="preserve">Planned attribute A8</t>
  </si>
  <si>
    <t xml:space="preserve">EVD-070</t>
  </si>
  <si>
    <t xml:space="preserve">EV-01</t>
  </si>
  <si>
    <t xml:space="preserve">CTL-010 (SOC 2 CC9.2)</t>
  </si>
  <si>
    <t xml:space="preserve">Authoritative vendor / service inventory</t>
  </si>
  <si>
    <t xml:space="preserve">Control attribute 2</t>
  </si>
  <si>
    <t xml:space="preserve">Source-stated: evidence-to-attribute (§15) and attribute-to-finding (§9)</t>
  </si>
  <si>
    <t xml:space="preserve">EVD-071</t>
  </si>
  <si>
    <t xml:space="preserve">EV-02</t>
  </si>
  <si>
    <t xml:space="preserve">Third-party risk management policy / procedure</t>
  </si>
  <si>
    <t xml:space="preserve">Control attribute 3</t>
  </si>
  <si>
    <t xml:space="preserve">EVD-072</t>
  </si>
  <si>
    <t xml:space="preserve">EV-03</t>
  </si>
  <si>
    <t xml:space="preserve">Vendor risk-tiering methodology</t>
  </si>
  <si>
    <t xml:space="preserve">Control attribute 4</t>
  </si>
  <si>
    <t xml:space="preserve">EVD-073</t>
  </si>
  <si>
    <t xml:space="preserve">EV-04</t>
  </si>
  <si>
    <t xml:space="preserve">Security and privacy assessment criteria</t>
  </si>
  <si>
    <t xml:space="preserve">Control attribute 5</t>
  </si>
  <si>
    <t xml:space="preserve">EVD-074</t>
  </si>
  <si>
    <t xml:space="preserve">EV-05</t>
  </si>
  <si>
    <t xml:space="preserve">Population of third-party AI vendor / service approval requests for the assessment period</t>
  </si>
  <si>
    <t xml:space="preserve">Control attribute 2, 6</t>
  </si>
  <si>
    <t xml:space="preserve">VRA-03, VRA-01</t>
  </si>
  <si>
    <t xml:space="preserve">EVD-075</t>
  </si>
  <si>
    <t xml:space="preserve">EV-06</t>
  </si>
  <si>
    <t xml:space="preserve">Completed pre-approval assessments</t>
  </si>
  <si>
    <t xml:space="preserve">Control attribute 6, 7</t>
  </si>
  <si>
    <t xml:space="preserve">EVD-076</t>
  </si>
  <si>
    <t xml:space="preserve">EV-07</t>
  </si>
  <si>
    <t xml:space="preserve">Security questionnaires</t>
  </si>
  <si>
    <t xml:space="preserve">Control attribute 6</t>
  </si>
  <si>
    <t xml:space="preserve">EVD-077</t>
  </si>
  <si>
    <t xml:space="preserve">EV-08</t>
  </si>
  <si>
    <t xml:space="preserve">Privacy / data-processing assessments</t>
  </si>
  <si>
    <t xml:space="preserve">EVD-078</t>
  </si>
  <si>
    <t xml:space="preserve">EV-09</t>
  </si>
  <si>
    <t xml:space="preserve">Independent assurance reports, where applicable</t>
  </si>
  <si>
    <t xml:space="preserve">EVD-079</t>
  </si>
  <si>
    <t xml:space="preserve">EV-10</t>
  </si>
  <si>
    <t xml:space="preserve">Contracts and security / privacy terms</t>
  </si>
  <si>
    <t xml:space="preserve">Control attribute 6, 8</t>
  </si>
  <si>
    <t xml:space="preserve">EVD-080</t>
  </si>
  <si>
    <t xml:space="preserve">EV-11</t>
  </si>
  <si>
    <t xml:space="preserve">Approval records demonstrating the assessment occurred before approval</t>
  </si>
  <si>
    <t xml:space="preserve">Control attribute 7</t>
  </si>
  <si>
    <t xml:space="preserve">EVD-081</t>
  </si>
  <si>
    <t xml:space="preserve">EV-12</t>
  </si>
  <si>
    <t xml:space="preserve">Identified vendor risks and remediation or acceptance records</t>
  </si>
  <si>
    <t xml:space="preserve">Control attribute 8</t>
  </si>
  <si>
    <t xml:space="preserve">EVD-082</t>
  </si>
  <si>
    <t xml:space="preserve">EV-13</t>
  </si>
  <si>
    <t xml:space="preserve">Ongoing monitoring and reassessment records</t>
  </si>
  <si>
    <t xml:space="preserve">Control attribute 9</t>
  </si>
  <si>
    <t xml:space="preserve">EVD-083</t>
  </si>
  <si>
    <t xml:space="preserve">EV-14</t>
  </si>
  <si>
    <t xml:space="preserve">KRI-006 source data and calculation methodology</t>
  </si>
  <si>
    <t xml:space="preserve">Control attribute 10</t>
  </si>
  <si>
    <t xml:space="preserve">None (attribute 10 is Met (Source); no finding)</t>
  </si>
  <si>
    <t xml:space="preserve">Source Index &amp; Reconciliation</t>
  </si>
  <si>
    <t xml:space="preserve">“Documented” counts were counted from each source document; “Extracted” counts are live formulas over the Findings and Evidence Requests tabs.</t>
  </si>
  <si>
    <t xml:space="preserve">Document Date (Revision History)</t>
  </si>
  <si>
    <t xml:space="preserve">Control Reference</t>
  </si>
  <si>
    <t xml:space="preserve">Framework Reference</t>
  </si>
  <si>
    <t xml:space="preserve">Control Owner</t>
  </si>
  <si>
    <t xml:space="preserve">Control Rating / Conclusion (Source)</t>
  </si>
  <si>
    <t xml:space="preserve">Document Status (Source)</t>
  </si>
  <si>
    <t xml:space="preserve">Documented Findings</t>
  </si>
  <si>
    <t xml:space="preserve">Documented Observations (incl. coverage-gap observations)</t>
  </si>
  <si>
    <t xml:space="preserve">Documented Planning Gaps</t>
  </si>
  <si>
    <t xml:space="preserve">Documented Evidence Items</t>
  </si>
  <si>
    <t xml:space="preserve">Extracted Findings</t>
  </si>
  <si>
    <t xml:space="preserve">Extracted Observations</t>
  </si>
  <si>
    <t xml:space="preserve">Extracted Planning Gaps</t>
  </si>
  <si>
    <t xml:space="preserve">Extracted Evidence Items</t>
  </si>
  <si>
    <t xml:space="preserve">Source File (Uploaded)</t>
  </si>
  <si>
    <t xml:space="preserve">CTL-mu0tgvxq</t>
  </si>
  <si>
    <t xml:space="preserve">ISO 27001 A.5.12</t>
  </si>
  <si>
    <t xml:space="preserve">Completed (Simulated) — Sign-Off Pending</t>
  </si>
  <si>
    <t xml:space="preserve">MAL-CHK-001_AI_Training_Data_Validation_Checklist.docx</t>
  </si>
  <si>
    <t xml:space="preserve">CTL-mu1nugzu</t>
  </si>
  <si>
    <t xml:space="preserve">NIST CSF PR.AA-05</t>
  </si>
  <si>
    <t xml:space="preserve">MAL-ACR-002_User_Access_Review_Worksheet.docx</t>
  </si>
  <si>
    <t xml:space="preserve">CTL-mu1nvfmw</t>
  </si>
  <si>
    <t xml:space="preserve">SOC 2 CC8.1</t>
  </si>
  <si>
    <t xml:space="preserve">MAL-CTW-003_Change_Management_Control_Test_Worksheet.docx</t>
  </si>
  <si>
    <t xml:space="preserve">CTL-004</t>
  </si>
  <si>
    <t xml:space="preserve">CIS Controls v8, Control 6</t>
  </si>
  <si>
    <t xml:space="preserve">MAL-STD-004_Privileged_Access_and_MFA_Security_Standard.docx</t>
  </si>
  <si>
    <t xml:space="preserve">CTL-005</t>
  </si>
  <si>
    <t xml:space="preserve">NIST CSF DE.CM-09</t>
  </si>
  <si>
    <t xml:space="preserve">MAL-VMA-005_Vulnerability_Management_Control_Assessment.docx</t>
  </si>
  <si>
    <t xml:space="preserve">CTL-006</t>
  </si>
  <si>
    <t xml:space="preserve">GDPR Art.5</t>
  </si>
  <si>
    <t xml:space="preserve">MAL-PIA-006_AI_Privacy_Impact_Assessment.docx</t>
  </si>
  <si>
    <t xml:space="preserve">CTL-007</t>
  </si>
  <si>
    <t xml:space="preserve">ISO 27001 A.5.30</t>
  </si>
  <si>
    <t xml:space="preserve">MAL-BRT-007_Backup_and_Recovery_Test_Record.docx</t>
  </si>
  <si>
    <t xml:space="preserve">CTL-008</t>
  </si>
  <si>
    <t xml:space="preserve">CIS Controls v8, Control 8</t>
  </si>
  <si>
    <t xml:space="preserve">MAL-LMA-008_Security_Logging_and_Monitoring_Control_Assessment.docx</t>
  </si>
  <si>
    <t xml:space="preserve">CTL-009</t>
  </si>
  <si>
    <t xml:space="preserve">ISO 27001 A.5.31</t>
  </si>
  <si>
    <t xml:space="preserve">Not Tested (Effectiveness Not Concluded)</t>
  </si>
  <si>
    <t xml:space="preserve">MAL-CAP-009_Compliance_Assessment_Plan_and_Evidence_Request.docx</t>
  </si>
  <si>
    <t xml:space="preserve">CTL-010</t>
  </si>
  <si>
    <t xml:space="preserve">SOC 2 CC9.2</t>
  </si>
  <si>
    <t xml:space="preserve">MAL-VRA-010_Third-Party_AI_Vendor_Risk_Assessment.docx</t>
  </si>
  <si>
    <t xml:space="preserve">TOTAL</t>
  </si>
  <si>
    <t xml:space="preserve">Note: MAL-IPR-011 is not listed because its assessment document was not provided. Document dates are the version 1.0 dates in each document’s Revision History. Documents 001–003 carry the status “Completed (Simulated) — Sign-Off Pending”; sign-off tables in all ten documents are blank or not applicable.</t>
  </si>
  <si>
    <t xml:space="preserve">Source (export) IDs ↔ normalized IDs. A normalized ID appears only where a source document states it; otherwise “Not stated in source documents”. Risks without IDs are referenced by title.</t>
  </si>
  <si>
    <t xml:space="preserve">A. Assets (Asset Register; normalized IDs stated in MAL-STD-004 §3)</t>
  </si>
  <si>
    <t xml:space="preserve">Normalized ID</t>
  </si>
  <si>
    <t xml:space="preserve">Source ID (JSON export)</t>
  </si>
  <si>
    <t xml:space="preserve">Asset Name</t>
  </si>
  <si>
    <t xml:space="preserve">Type</t>
  </si>
  <si>
    <t xml:space="preserve">Environment</t>
  </si>
  <si>
    <t xml:space="preserve">Records Referencing (live count)</t>
  </si>
  <si>
    <t xml:space="preserve">AST-001</t>
  </si>
  <si>
    <t xml:space="preserve">AST-mu0s8cur</t>
  </si>
  <si>
    <t xml:space="preserve">Clinical Diagnostic AI Model</t>
  </si>
  <si>
    <t xml:space="preserve">Application</t>
  </si>
  <si>
    <t xml:space="preserve">Critical</t>
  </si>
  <si>
    <t xml:space="preserve">Production</t>
  </si>
  <si>
    <t xml:space="preserve">Clinical AI &amp; Machine Learning Team</t>
  </si>
  <si>
    <t xml:space="preserve">AST-002</t>
  </si>
  <si>
    <t xml:space="preserve">AST-mu0set5n</t>
  </si>
  <si>
    <t xml:space="preserve">Financial Risk Training Data Repository</t>
  </si>
  <si>
    <t xml:space="preserve">Data Store</t>
  </si>
  <si>
    <t xml:space="preserve">AST-003</t>
  </si>
  <si>
    <t xml:space="preserve">AST-mu0sfsup</t>
  </si>
  <si>
    <t xml:space="preserve">AI Model Training Server</t>
  </si>
  <si>
    <t xml:space="preserve">Server</t>
  </si>
  <si>
    <t xml:space="preserve">Development</t>
  </si>
  <si>
    <t xml:space="preserve">Machine Learning Engineering</t>
  </si>
  <si>
    <t xml:space="preserve">AST-004</t>
  </si>
  <si>
    <t xml:space="preserve">Not exposed in source (null)</t>
  </si>
  <si>
    <t xml:space="preserve">AI Development Cloud Environment</t>
  </si>
  <si>
    <t xml:space="preserve">Cloud Account</t>
  </si>
  <si>
    <t xml:space="preserve">Cloud Engineering</t>
  </si>
  <si>
    <t xml:space="preserve">AST-005</t>
  </si>
  <si>
    <t xml:space="preserve">AI Governance Analyst Workstation</t>
  </si>
  <si>
    <t xml:space="preserve">Endpoint</t>
  </si>
  <si>
    <t xml:space="preserve">AI Governance Team</t>
  </si>
  <si>
    <t xml:space="preserve">AST-006</t>
  </si>
  <si>
    <t xml:space="preserve">Pre-Production AI Validation Environment</t>
  </si>
  <si>
    <t xml:space="preserve">Staging</t>
  </si>
  <si>
    <t xml:space="preserve">Model Validation Team</t>
  </si>
  <si>
    <t xml:space="preserve">AST-007</t>
  </si>
  <si>
    <t xml:space="preserve">AI Network Security Gateway</t>
  </si>
  <si>
    <t xml:space="preserve">Network Device</t>
  </si>
  <si>
    <t xml:space="preserve">Network Security Team</t>
  </si>
  <si>
    <t xml:space="preserve">AST-008</t>
  </si>
  <si>
    <t xml:space="preserve">Pre-Production Model Validation Server</t>
  </si>
  <si>
    <t xml:space="preserve">AST-009</t>
  </si>
  <si>
    <t xml:space="preserve">Clinical AI Backup Repository</t>
  </si>
  <si>
    <t xml:space="preserve">DR</t>
  </si>
  <si>
    <t xml:space="preserve">Data Protection Team</t>
  </si>
  <si>
    <t xml:space="preserve">AST-010</t>
  </si>
  <si>
    <t xml:space="preserve">AI Disaster Recovery Cloud Environment</t>
  </si>
  <si>
    <t xml:space="preserve">Cloud Operations Team</t>
  </si>
  <si>
    <t xml:space="preserve">AST-011</t>
  </si>
  <si>
    <t xml:space="preserve">Model Testing Workstation</t>
  </si>
  <si>
    <t xml:space="preserve">AI Quality Assurance Team</t>
  </si>
  <si>
    <t xml:space="preserve">B. Risks (Risk Register; likelihood / impact as exported — no scores or tolerance comparisons computed)</t>
  </si>
  <si>
    <t xml:space="preserve">Risk Title</t>
  </si>
  <si>
    <t xml:space="preserve">Category</t>
  </si>
  <si>
    <t xml:space="preserve">Status (Register)</t>
  </si>
  <si>
    <t xml:space="preserve">Likelihood</t>
  </si>
  <si>
    <t xml:space="preserve">Impact</t>
  </si>
  <si>
    <t xml:space="preserve">Where Cited in Source Documents</t>
  </si>
  <si>
    <t xml:space="preserve">RSK-001</t>
  </si>
  <si>
    <t xml:space="preserve">RSK-mu0sxjrj</t>
  </si>
  <si>
    <t xml:space="preserve">Training data bias causes inaccurate clinical AI recommendations</t>
  </si>
  <si>
    <t xml:space="preserve">Data Protection</t>
  </si>
  <si>
    <t xml:space="preserve">Open</t>
  </si>
  <si>
    <t xml:space="preserve">MAL-PIA-006 §5</t>
  </si>
  <si>
    <t xml:space="preserve">RSK-002</t>
  </si>
  <si>
    <t xml:space="preserve">RSK-mu0t1uva</t>
  </si>
  <si>
    <t xml:space="preserve">Unauthorized user exploits inadequate data access restrictions causing sensitive data exposure to Financial Risk Training Data Repository</t>
  </si>
  <si>
    <t xml:space="preserve">MAL-PIA-006 §5; MAL-LMA-008 §5</t>
  </si>
  <si>
    <t xml:space="preserve">RSK-003</t>
  </si>
  <si>
    <t xml:space="preserve">RSK-mu0t2oau</t>
  </si>
  <si>
    <t xml:space="preserve">Unauthorized developer exploits excessive privileges causing unapproved model changes to AI Model Training Server</t>
  </si>
  <si>
    <t xml:space="preserve">Access Control</t>
  </si>
  <si>
    <t xml:space="preserve">In Progress</t>
  </si>
  <si>
    <t xml:space="preserve">MAL-LMA-008 §5</t>
  </si>
  <si>
    <t xml:space="preserve">RSK-004</t>
  </si>
  <si>
    <t xml:space="preserve">Cloud misconfiguration exploits weak configuration governance causing unauthorized resource exposure to AI Development Cloud Environment</t>
  </si>
  <si>
    <t xml:space="preserve">Application Security</t>
  </si>
  <si>
    <t xml:space="preserve">MAL-VMA-005 §5</t>
  </si>
  <si>
    <t xml:space="preserve">Not stated in source documents</t>
  </si>
  <si>
    <t xml:space="preserve">Incomplete validation exploits insufficient testing coverage causing defective models to advance from Pre-Production AI Validation Environment</t>
  </si>
  <si>
    <t xml:space="preserve">Compliance</t>
  </si>
  <si>
    <t xml:space="preserve">Referenced by title only (MAL-CTW-003 §4; MAL-CAP-009 §6.1)</t>
  </si>
  <si>
    <t xml:space="preserve">RSK-006</t>
  </si>
  <si>
    <t xml:space="preserve">External attacker exploits weak network filtering causing unauthorized AI infrastructure access through AI Network Security Gateway</t>
  </si>
  <si>
    <t xml:space="preserve">MAL-VMA-005 §5; MAL-LMA-008 §5</t>
  </si>
  <si>
    <t xml:space="preserve">RSK-007</t>
  </si>
  <si>
    <t xml:space="preserve">Infrastructure outage exploits inadequate recovery testing causing prolonged service disruption to AI Disaster Recovery Cloud Environment</t>
  </si>
  <si>
    <t xml:space="preserve">Availability</t>
  </si>
  <si>
    <t xml:space="preserve">MAL-BRT-007 §5</t>
  </si>
  <si>
    <t xml:space="preserve">RSK-008</t>
  </si>
  <si>
    <t xml:space="preserve">Unauthorized user exploits inadequate backup access controls causing sensitive data exposure to Clinical AI Backup Repository</t>
  </si>
  <si>
    <t xml:space="preserve">MAL-PIA-006 §5; MAL-BRT-007 §5</t>
  </si>
  <si>
    <t xml:space="preserve">Phishing attacker exploits user error causing unauthorized governance data access to AI Governance Analyst Workstation</t>
  </si>
  <si>
    <t xml:space="preserve">Human Error</t>
  </si>
  <si>
    <t xml:space="preserve">Closed</t>
  </si>
  <si>
    <t xml:space="preserve">Not cited by any in-scope source document</t>
  </si>
  <si>
    <t xml:space="preserve">Tester exploits excessive system privileges causing unauthorized validation changes to Pre-Production Model Validation Server</t>
  </si>
  <si>
    <t xml:space="preserve">Referenced by description only (MAL-STD-004 §4)</t>
  </si>
  <si>
    <t xml:space="preserve">Analyst error exploits inadequate test review procedures causing inaccurate validation results to Model Testing Workstation</t>
  </si>
  <si>
    <t xml:space="preserve">C. Controls (Control Register)</t>
  </si>
  <si>
    <t xml:space="preserve">Control Name</t>
  </si>
  <si>
    <t xml:space="preserve">Framework Ref</t>
  </si>
  <si>
    <t xml:space="preserve">Rating (Register)</t>
  </si>
  <si>
    <t xml:space="preserve">Frequency</t>
  </si>
  <si>
    <t xml:space="preserve">Tracker Source Document</t>
  </si>
  <si>
    <t xml:space="preserve">Perform documented bias and data quality validation before AI model approval</t>
  </si>
  <si>
    <t xml:space="preserve">Quarterly</t>
  </si>
  <si>
    <t xml:space="preserve">Restrict AI training data repositories to authorized personnel using role-based access</t>
  </si>
  <si>
    <t xml:space="preserve">Require documented review and approval before production AI model changes are deployed</t>
  </si>
  <si>
    <t xml:space="preserve">Continuous</t>
  </si>
  <si>
    <t xml:space="preserve">Enforce multi-factor authentication and least-privilege access for privileged AI platform accounts</t>
  </si>
  <si>
    <t xml:space="preserve">CIS Controls CIS 6</t>
  </si>
  <si>
    <t xml:space="preserve">Perform vulnerability testing and remediate identified weaknesses in production AI APIs</t>
  </si>
  <si>
    <t xml:space="preserve">Monthly</t>
  </si>
  <si>
    <t xml:space="preserve">Review AI datasets for unnecessary personal information and apply privacy safeguards before processing</t>
  </si>
  <si>
    <t xml:space="preserve">Maintain tested backup and recovery procedures for critical production AI systems</t>
  </si>
  <si>
    <t xml:space="preserve">Centralize and review security logs for suspicious activity affecting production AI systems</t>
  </si>
  <si>
    <t xml:space="preserve">CIS Controls CIS 8</t>
  </si>
  <si>
    <t xml:space="preserve">Perform documented compliance assessments of high-impact AI systems against applicable requirements</t>
  </si>
  <si>
    <t xml:space="preserve">Annual</t>
  </si>
  <si>
    <t xml:space="preserve">Assess security and privacy risks before approving third-party AI vendors and services</t>
  </si>
  <si>
    <t xml:space="preserve">Require independent peer review of AI model testing results before production approval</t>
  </si>
  <si>
    <t xml:space="preserve">ISO 27001 A.5.35</t>
  </si>
  <si>
    <t xml:space="preserve">Not included — MAL-IPR-011 assessment document not provided</t>
  </si>
  <si>
    <t xml:space="preserve">D. Policies cited by source documents (Policies export)</t>
  </si>
  <si>
    <t xml:space="preserve">Policy ID</t>
  </si>
  <si>
    <t xml:space="preserve">Title</t>
  </si>
  <si>
    <t xml:space="preserve">Status (Export)</t>
  </si>
  <si>
    <t xml:space="preserve">POL-001</t>
  </si>
  <si>
    <t xml:space="preserve">AI Model Risk Management and Validation Policy</t>
  </si>
  <si>
    <t xml:space="preserve">Approved</t>
  </si>
  <si>
    <t xml:space="preserve">MAL-CAP-009 §5 (candidate criteria)</t>
  </si>
  <si>
    <t xml:space="preserve">POL-002</t>
  </si>
  <si>
    <t xml:space="preserve">AI Data Governance and Quality Policy</t>
  </si>
  <si>
    <t xml:space="preserve">Data Governance Team</t>
  </si>
  <si>
    <t xml:space="preserve">POL-006</t>
  </si>
  <si>
    <t xml:space="preserve">Responsible AI and Human Oversight Policy</t>
  </si>
  <si>
    <t xml:space="preserve">Under Review</t>
  </si>
  <si>
    <t xml:space="preserve">MAL-CAP-009 §5, APO-02</t>
  </si>
  <si>
    <t xml:space="preserve">MAL-VRA-010 (VRA-03) states that no third-party risk policy exists within the available Policy Register; none of POL-001 to POL-006 in the export addresses third-party risk.</t>
  </si>
  <si>
    <t xml:space="preserve">Column definitions for Findings, Remediation Actions, Evidence Requests and Source Index. “Source-verbatim” = copied from the source document; “Analyst-derived” = reporting classification only.</t>
  </si>
  <si>
    <t xml:space="preserve">Tab</t>
  </si>
  <si>
    <t xml:space="preserve">Column</t>
  </si>
  <si>
    <t xml:space="preserve">Definition</t>
  </si>
  <si>
    <t xml:space="preserve">Allowed Values / Format</t>
  </si>
  <si>
    <t xml:space="preserve">Origin</t>
  </si>
  <si>
    <t xml:space="preserve">Unique ID assigned by this tracker to avoid conflicts (e.g., four documents each contain an “OBS-01”).</t>
  </si>
  <si>
    <t xml:space="preserve">FRT-001 to FRT-029</t>
  </si>
  <si>
    <t xml:space="preserve">Tracker-assigned</t>
  </si>
  <si>
    <t xml:space="preserve">The ID printed in the source document.</t>
  </si>
  <si>
    <t xml:space="preserve">e.g., ACR-01, VUL-02, OBS-01, APO-03; “None assigned in source” where the document gives no ID</t>
  </si>
  <si>
    <t xml:space="preserve">Source-verbatim</t>
  </si>
  <si>
    <t xml:space="preserve">Source Document ID / Title / Section</t>
  </si>
  <si>
    <t xml:space="preserve">The artifact and section from which the record was extracted, for traceability.</t>
  </si>
  <si>
    <t xml:space="preserve">MAL-xxx-0nn; § reference</t>
  </si>
  <si>
    <t xml:space="preserve">Control ID, name and framework reference as stated in the source document and Control Register.</t>
  </si>
  <si>
    <t xml:space="preserve">CTL-mu… (documents 001–003) or CTL-004 to CTL-010</t>
  </si>
  <si>
    <t xml:space="preserve">Effectiveness rating recorded for the control in the Control Register as cited by the document.</t>
  </si>
  <si>
    <t xml:space="preserve">Effective, Partially Effective, Ineffective, Not Tested</t>
  </si>
  <si>
    <t xml:space="preserve">Related Asset / Related Risk</t>
  </si>
  <si>
    <t xml:space="preserve">Assets and risks the source document links to the record. Risks without IDs are cited by title.</t>
  </si>
  <si>
    <t xml:space="preserve">Free text</t>
  </si>
  <si>
    <t xml:space="preserve">Finding or observation heading as printed in the source (prefixed with the original ID where one exists).</t>
  </si>
  <si>
    <t xml:space="preserve">Condition / observation text copied from the source.</t>
  </si>
  <si>
    <t xml:space="preserve">Nature of the record.</t>
  </si>
  <si>
    <t xml:space="preserve">Confirmed Finding (Simulated) | Observation | Planning Gap</t>
  </si>
  <si>
    <t xml:space="preserve">Analyst-derived</t>
  </si>
  <si>
    <t xml:space="preserve">Finer label following the source wording.</t>
  </si>
  <si>
    <t xml:space="preserve">Control Deficiency (Finding) | Control Deficiency (Exception) | Process-Improvement Observation | Minor Observation (source label) | Risk-Register Coverage Gap | Asset-Register Observation | Planning Observation</t>
  </si>
  <si>
    <t xml:space="preserve">Severity or risk wording exactly as in the source, including “Medium-High” and “High (window)”. Where the source gives only a Risk / Impact of Low, that is stated.</t>
  </si>
  <si>
    <t xml:space="preserve">Grouping used for filtering and dashboard counts. Not a source rating.</t>
  </si>
  <si>
    <t xml:space="preserve">High | Medium-High | Medium | Low | Not Rated</t>
  </si>
  <si>
    <t xml:space="preserve">Owner / execution responsibility exactly as written in the source. For coverage gaps, the owner proposed in the source for the recommended risk record.</t>
  </si>
  <si>
    <t xml:space="preserve">Free text; “Not specified in source”</t>
  </si>
  <si>
    <t xml:space="preserve">First-named team, used for dashboard owner counts.</t>
  </si>
  <si>
    <t xml:space="preserve">Team name; “Not specified in source”</t>
  </si>
  <si>
    <t xml:space="preserve">Recommendation or planning action copied from the source.</t>
  </si>
  <si>
    <t xml:space="preserve">Status stated in the source. “Not stated in source” where none is given.</t>
  </si>
  <si>
    <t xml:space="preserve">e.g., In Progress (Simulated); Open (Simulated); Remediated (Simulated) — account disabled; underlying process fix Open</t>
  </si>
  <si>
    <t xml:space="preserve">Grouping of the documented status for counting. Never implies independent validation.</t>
  </si>
  <si>
    <t xml:space="preserve">In Progress (Simulated) | Open (Simulated) | Reported Remediated (Sim.) — Process Fix Open | Accepted by Owner (per source) | No Status in Source</t>
  </si>
  <si>
    <t xml:space="preserve">Whether closure was independently validated. No evidence exists in this simulated scenario.</t>
  </si>
  <si>
    <t xml:space="preserve">Target text exactly as documented, including quarter-only targets.</t>
  </si>
  <si>
    <t xml:space="preserve">Populated only when the source gives a calendar date. Quarter targets are never converted.</t>
  </si>
  <si>
    <t xml:space="preserve">yyyy-mm-dd or blank</t>
  </si>
  <si>
    <t xml:space="preserve">Whether the target is an exact date, a quarter (text) or not stated.</t>
  </si>
  <si>
    <t xml:space="preserve">Exact date | Quarter (text) | Not stated in source</t>
  </si>
  <si>
    <t xml:space="preserve">Pointer to the related Evidence Requests rows. Item-level links are shown only where the source states them (MAL-VRA-010); otherwise the link is control-level.</t>
  </si>
  <si>
    <t xml:space="preserve">Evidence Tracker IDs</t>
  </si>
  <si>
    <t xml:space="preserve">The source “Validation” statement verbatim; otherwise “Not Defined in Source”. No criteria have been generated.</t>
  </si>
  <si>
    <t xml:space="preserve">Effect on the control rating as stated by the source.</t>
  </si>
  <si>
    <t xml:space="preserve">Marks every record as a simulated portfolio scenario.</t>
  </si>
  <si>
    <t xml:space="preserve">Unique action ID.</t>
  </si>
  <si>
    <t xml:space="preserve">REM-001 to REM-030</t>
  </si>
  <si>
    <t xml:space="preserve">Finding / observation / planning-gap record the action belongs to.</t>
  </si>
  <si>
    <t xml:space="preserve">FRT-nnn</t>
  </si>
  <si>
    <t xml:space="preserve">Linked Classification / Linked Severity</t>
  </si>
  <si>
    <t xml:space="preserve">Looked up from the Findings tab.</t>
  </si>
  <si>
    <t xml:space="preserve">Formula</t>
  </si>
  <si>
    <t xml:space="preserve">Source recommendation. ACR-03 is split into (a) the account disablement reported in the source status and (b) the recommended process fix, because the source reports different statuses for each.</t>
  </si>
  <si>
    <t xml:space="preserve">No completion evidence exists in the source documents.</t>
  </si>
  <si>
    <t xml:space="preserve">Evidence Tracker ID / Original Evidence ID</t>
  </si>
  <si>
    <t xml:space="preserve">Tracker ID, and the PBC-nn / EV-nn ID where the source uses one.</t>
  </si>
  <si>
    <t xml:space="preserve">EVD-001 to EVD-083</t>
  </si>
  <si>
    <t xml:space="preserve">Evidence Item / Source Status</t>
  </si>
  <si>
    <t xml:space="preserve">Wording and status exactly as in the source evidence tables.</t>
  </si>
  <si>
    <t xml:space="preserve">Linked Attribute / Linked Record(s) / Link Basis</t>
  </si>
  <si>
    <t xml:space="preserve">Links stated by the source: CAP-009 maps PBC items to planned attributes; VRA-010 maps evidence to attributes and attributes to findings. Other documents give control-level lists only.</t>
  </si>
  <si>
    <t xml:space="preserve">Always “No — evidence requirement only”: missing evidence is not converted into a deficiency.</t>
  </si>
  <si>
    <t xml:space="preserve">Documented vs. Extracted counts</t>
  </si>
  <si>
    <t xml:space="preserve">Documented = counted by reading the source; Extracted = live COUNTIFS over this workbook; Reconciliation compares them.</t>
  </si>
  <si>
    <t xml:space="preserve">Match | Review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</si>
</sst>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9"/>
      <color rgb="FF7F3F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7F9FC"/>
      </patternFill>
    </fill>
    <fill>
      <patternFill patternType="solid">
        <fgColor rgb="FFFFFF99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7F9FC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ont>
        <name val="Arial"/>
        <charset val="1"/>
        <family val="0"/>
        <b val="1"/>
      </font>
      <fill>
        <patternFill>
          <bgColor rgb="FFFF9999"/>
        </patternFill>
      </fill>
    </dxf>
    <dxf>
      <fill>
        <patternFill>
          <bgColor rgb="FFF4B183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color rgb="FF9C0006"/>
      </font>
    </dxf>
    <dxf>
      <fill>
        <patternFill>
          <bgColor rgb="FFF8CBAD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4B183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0B4"/>
      <rgbColor rgb="FFFFFF99"/>
      <rgbColor rgb="FFF7F9FC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3F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1" t="s">
        <v>0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 t="s">
        <v>8</v>
      </c>
      <c r="B8" s="7" t="s">
        <v>9</v>
      </c>
    </row>
    <row r="9" customFormat="false" ht="15" hidden="false" customHeight="false" outlineLevel="0" collapsed="false">
      <c r="A9" s="6" t="s">
        <v>10</v>
      </c>
      <c r="B9" s="7" t="s">
        <v>11</v>
      </c>
    </row>
    <row r="10" customFormat="false" ht="15" hidden="false" customHeight="false" outlineLevel="0" collapsed="false">
      <c r="A10" s="6" t="s">
        <v>12</v>
      </c>
      <c r="B10" s="7" t="s">
        <v>13</v>
      </c>
    </row>
    <row r="11" customFormat="false" ht="15" hidden="false" customHeight="false" outlineLevel="0" collapsed="false">
      <c r="A11" s="6" t="s">
        <v>14</v>
      </c>
      <c r="B11" s="7" t="s">
        <v>15</v>
      </c>
    </row>
    <row r="12" customFormat="false" ht="15" hidden="false" customHeight="false" outlineLevel="0" collapsed="false">
      <c r="A12" s="6" t="s">
        <v>16</v>
      </c>
      <c r="B12" s="7" t="s">
        <v>17</v>
      </c>
    </row>
    <row r="13" customFormat="false" ht="15" hidden="false" customHeight="false" outlineLevel="0" collapsed="false">
      <c r="A13" s="4" t="s">
        <v>18</v>
      </c>
      <c r="B13" s="5"/>
    </row>
    <row r="14" customFormat="false" ht="23.85" hidden="false" customHeight="false" outlineLevel="0" collapsed="false">
      <c r="A14" s="6" t="s">
        <v>19</v>
      </c>
      <c r="B14" s="7" t="s">
        <v>20</v>
      </c>
    </row>
    <row r="15" customFormat="false" ht="23.85" hidden="false" customHeight="false" outlineLevel="0" collapsed="false">
      <c r="A15" s="6" t="s">
        <v>21</v>
      </c>
      <c r="B15" s="7" t="s">
        <v>22</v>
      </c>
    </row>
    <row r="16" customFormat="false" ht="35.05" hidden="false" customHeight="false" outlineLevel="0" collapsed="false">
      <c r="A16" s="6" t="s">
        <v>23</v>
      </c>
      <c r="B16" s="7" t="s">
        <v>1</v>
      </c>
    </row>
    <row r="17" customFormat="false" ht="23.85" hidden="false" customHeight="false" outlineLevel="0" collapsed="false">
      <c r="A17" s="6" t="s">
        <v>24</v>
      </c>
      <c r="B17" s="7" t="s">
        <v>25</v>
      </c>
    </row>
    <row r="18" customFormat="false" ht="15" hidden="false" customHeight="false" outlineLevel="0" collapsed="false">
      <c r="A18" s="4" t="s">
        <v>26</v>
      </c>
      <c r="B18" s="5"/>
    </row>
    <row r="19" customFormat="false" ht="23.85" hidden="false" customHeight="false" outlineLevel="0" collapsed="false">
      <c r="A19" s="6" t="s">
        <v>27</v>
      </c>
      <c r="B19" s="7" t="s">
        <v>28</v>
      </c>
    </row>
    <row r="20" customFormat="false" ht="23.85" hidden="false" customHeight="false" outlineLevel="0" collapsed="false">
      <c r="A20" s="6" t="s">
        <v>29</v>
      </c>
      <c r="B20" s="7" t="s">
        <v>30</v>
      </c>
    </row>
    <row r="21" customFormat="false" ht="23.85" hidden="false" customHeight="false" outlineLevel="0" collapsed="false">
      <c r="A21" s="6" t="s">
        <v>31</v>
      </c>
      <c r="B21" s="7" t="s">
        <v>32</v>
      </c>
    </row>
    <row r="22" customFormat="false" ht="23.85" hidden="false" customHeight="false" outlineLevel="0" collapsed="false">
      <c r="A22" s="6" t="s">
        <v>33</v>
      </c>
      <c r="B22" s="7" t="s">
        <v>34</v>
      </c>
    </row>
    <row r="23" customFormat="false" ht="15" hidden="false" customHeight="false" outlineLevel="0" collapsed="false">
      <c r="A23" s="4" t="s">
        <v>35</v>
      </c>
      <c r="B23" s="5"/>
    </row>
    <row r="24" customFormat="false" ht="35.05" hidden="false" customHeight="false" outlineLevel="0" collapsed="false">
      <c r="A24" s="6" t="s">
        <v>36</v>
      </c>
      <c r="B24" s="7" t="s">
        <v>37</v>
      </c>
    </row>
    <row r="25" customFormat="false" ht="23.85" hidden="false" customHeight="false" outlineLevel="0" collapsed="false">
      <c r="A25" s="6" t="s">
        <v>38</v>
      </c>
      <c r="B25" s="7" t="s">
        <v>39</v>
      </c>
    </row>
    <row r="26" customFormat="false" ht="23.85" hidden="false" customHeight="false" outlineLevel="0" collapsed="false">
      <c r="A26" s="6" t="s">
        <v>40</v>
      </c>
      <c r="B26" s="7" t="s">
        <v>41</v>
      </c>
    </row>
    <row r="27" customFormat="false" ht="15" hidden="false" customHeight="false" outlineLevel="0" collapsed="false">
      <c r="A27" s="6" t="s">
        <v>42</v>
      </c>
      <c r="B27" s="7" t="s">
        <v>43</v>
      </c>
    </row>
    <row r="28" customFormat="false" ht="15" hidden="false" customHeight="false" outlineLevel="0" collapsed="false">
      <c r="A28" s="4" t="s">
        <v>44</v>
      </c>
      <c r="B28" s="5"/>
    </row>
    <row r="29" customFormat="false" ht="23.85" hidden="false" customHeight="false" outlineLevel="0" collapsed="false">
      <c r="A29" s="6" t="s">
        <v>45</v>
      </c>
      <c r="B29" s="7" t="s">
        <v>46</v>
      </c>
    </row>
    <row r="30" customFormat="false" ht="15" hidden="false" customHeight="false" outlineLevel="0" collapsed="false">
      <c r="A30" s="6" t="s">
        <v>47</v>
      </c>
      <c r="B30" s="7" t="s">
        <v>48</v>
      </c>
    </row>
    <row r="31" customFormat="false" ht="15" hidden="false" customHeight="false" outlineLevel="0" collapsed="false">
      <c r="A31" s="6" t="s">
        <v>49</v>
      </c>
      <c r="B31" s="7" t="s">
        <v>50</v>
      </c>
    </row>
    <row r="32" customFormat="false" ht="15" hidden="false" customHeight="false" outlineLevel="0" collapsed="false">
      <c r="A32" s="6" t="s">
        <v>51</v>
      </c>
      <c r="B32" s="7" t="s">
        <v>52</v>
      </c>
    </row>
    <row r="33" customFormat="false" ht="15" hidden="false" customHeight="false" outlineLevel="0" collapsed="false">
      <c r="A33" s="6" t="s">
        <v>53</v>
      </c>
      <c r="B33" s="7" t="s">
        <v>54</v>
      </c>
    </row>
    <row r="34" customFormat="false" ht="23.85" hidden="false" customHeight="false" outlineLevel="0" collapsed="false">
      <c r="A34" s="6" t="s">
        <v>55</v>
      </c>
      <c r="B34" s="7" t="s">
        <v>56</v>
      </c>
    </row>
    <row r="35" customFormat="false" ht="15" hidden="false" customHeight="false" outlineLevel="0" collapsed="false">
      <c r="A35" s="6" t="s">
        <v>57</v>
      </c>
      <c r="B35" s="7" t="s">
        <v>58</v>
      </c>
    </row>
    <row r="36" customFormat="false" ht="15" hidden="false" customHeight="false" outlineLevel="0" collapsed="false">
      <c r="A36" s="4" t="s">
        <v>59</v>
      </c>
      <c r="B36" s="5"/>
    </row>
    <row r="37" customFormat="false" ht="23.85" hidden="false" customHeight="false" outlineLevel="0" collapsed="false">
      <c r="A37" s="6" t="s">
        <v>60</v>
      </c>
      <c r="B37" s="7" t="s">
        <v>61</v>
      </c>
    </row>
    <row r="38" customFormat="false" ht="23.85" hidden="false" customHeight="false" outlineLevel="0" collapsed="false">
      <c r="A38" s="6" t="s">
        <v>62</v>
      </c>
      <c r="B38" s="7" t="s">
        <v>63</v>
      </c>
    </row>
    <row r="39" customFormat="false" ht="23.85" hidden="false" customHeight="false" outlineLevel="0" collapsed="false">
      <c r="A39" s="6" t="s">
        <v>64</v>
      </c>
      <c r="B39" s="7" t="s">
        <v>65</v>
      </c>
    </row>
    <row r="40" customFormat="false" ht="15" hidden="false" customHeight="false" outlineLevel="0" collapsed="false">
      <c r="A40" s="4" t="s">
        <v>66</v>
      </c>
      <c r="B40" s="5"/>
    </row>
    <row r="41" customFormat="false" ht="15" hidden="false" customHeight="false" outlineLevel="0" collapsed="false">
      <c r="A41" s="8" t="s">
        <v>67</v>
      </c>
      <c r="B41" s="9" t="n">
        <f aca="false">COUNTA(Findings!$A$5:$A$33)</f>
        <v>29</v>
      </c>
      <c r="C41" s="3" t="s">
        <v>68</v>
      </c>
    </row>
    <row r="42" customFormat="false" ht="15" hidden="false" customHeight="false" outlineLevel="0" collapsed="false">
      <c r="A42" s="8" t="s">
        <v>69</v>
      </c>
      <c r="B42" s="9" t="n">
        <f aca="false">COUNTIF(Findings!$L$5:$L$33,"Confirmed Finding (Simulated)")</f>
        <v>12</v>
      </c>
      <c r="C42" s="3" t="s">
        <v>70</v>
      </c>
    </row>
    <row r="43" customFormat="false" ht="15" hidden="false" customHeight="false" outlineLevel="0" collapsed="false">
      <c r="A43" s="8" t="s">
        <v>71</v>
      </c>
      <c r="B43" s="9" t="n">
        <f aca="false">COUNTIF(Findings!$L$5:$L$33,"Observation")</f>
        <v>13</v>
      </c>
      <c r="C43" s="3" t="s">
        <v>72</v>
      </c>
    </row>
    <row r="44" customFormat="false" ht="15" hidden="false" customHeight="false" outlineLevel="0" collapsed="false">
      <c r="A44" s="8" t="s">
        <v>73</v>
      </c>
      <c r="B44" s="9" t="n">
        <f aca="false">COUNTIF(Findings!$L$5:$L$33,"Planning Gap")</f>
        <v>4</v>
      </c>
      <c r="C44" s="3" t="s">
        <v>74</v>
      </c>
    </row>
    <row r="45" customFormat="false" ht="15" hidden="false" customHeight="false" outlineLevel="0" collapsed="false">
      <c r="A45" s="8" t="s">
        <v>75</v>
      </c>
      <c r="B45" s="9" t="n">
        <f aca="false">COUNTA('Remediation Actions'!$A$5:$A$34)</f>
        <v>30</v>
      </c>
      <c r="C45" s="3" t="s">
        <v>76</v>
      </c>
    </row>
    <row r="46" customFormat="false" ht="15" hidden="false" customHeight="false" outlineLevel="0" collapsed="false">
      <c r="A46" s="8" t="s">
        <v>77</v>
      </c>
      <c r="B46" s="9" t="n">
        <f aca="false">COUNTA('Evidence Requests'!$A$5:$A$87)</f>
        <v>83</v>
      </c>
      <c r="C46" s="3" t="s">
        <v>78</v>
      </c>
    </row>
    <row r="47" customFormat="false" ht="15" hidden="false" customHeight="false" outlineLevel="0" collapsed="false">
      <c r="A47" s="8" t="s">
        <v>79</v>
      </c>
      <c r="B47" s="9" t="n">
        <f aca="false">COUNTIF('Source Index'!$R$5:$R$14,"Match")</f>
        <v>10</v>
      </c>
      <c r="C47" s="3" t="s">
        <v>80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45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81</v>
      </c>
    </row>
    <row r="5" customFormat="false" ht="15" hidden="false" customHeight="false" outlineLevel="0" collapsed="false">
      <c r="A5" s="10" t="s">
        <v>82</v>
      </c>
      <c r="B5" s="11" t="n">
        <v>46316</v>
      </c>
      <c r="C5" s="3" t="s">
        <v>83</v>
      </c>
    </row>
    <row r="7" customFormat="false" ht="15" hidden="false" customHeight="false" outlineLevel="0" collapsed="false">
      <c r="A7" s="4" t="s">
        <v>84</v>
      </c>
      <c r="B7" s="5"/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A8" s="12" t="s">
        <v>85</v>
      </c>
      <c r="B8" s="12" t="s">
        <v>86</v>
      </c>
    </row>
    <row r="9" customFormat="false" ht="15" hidden="false" customHeight="false" outlineLevel="0" collapsed="false">
      <c r="A9" s="7" t="s">
        <v>87</v>
      </c>
      <c r="B9" s="13" t="n">
        <f aca="false">COUNTIF(Findings!$L$5:$L$33,"Confirmed Finding (Simulated)")</f>
        <v>12</v>
      </c>
    </row>
    <row r="10" customFormat="false" ht="15" hidden="false" customHeight="false" outlineLevel="0" collapsed="false">
      <c r="A10" s="7" t="s">
        <v>88</v>
      </c>
      <c r="B10" s="13" t="n">
        <f aca="false">COUNTIF(Findings!$L$5:$L$33,"Observation")</f>
        <v>13</v>
      </c>
    </row>
    <row r="11" customFormat="false" ht="15" hidden="false" customHeight="false" outlineLevel="0" collapsed="false">
      <c r="A11" s="7" t="s">
        <v>89</v>
      </c>
      <c r="B11" s="13" t="n">
        <f aca="false">COUNTIF(Findings!$L$5:$L$33,"Planning Gap")</f>
        <v>4</v>
      </c>
    </row>
    <row r="12" customFormat="false" ht="15" hidden="false" customHeight="false" outlineLevel="0" collapsed="false">
      <c r="A12" s="14" t="s">
        <v>90</v>
      </c>
      <c r="B12" s="15" t="n">
        <f aca="false">SUM(B9:B11)</f>
        <v>29</v>
      </c>
    </row>
    <row r="13" customFormat="false" ht="15" hidden="false" customHeight="false" outlineLevel="0" collapsed="false">
      <c r="A13" s="7" t="s">
        <v>91</v>
      </c>
      <c r="B13" s="13" t="n">
        <f aca="false">COUNTA('Remediation Actions'!$A$5:$A$34)</f>
        <v>30</v>
      </c>
    </row>
    <row r="14" customFormat="false" ht="15" hidden="false" customHeight="false" outlineLevel="0" collapsed="false">
      <c r="A14" s="7" t="s">
        <v>92</v>
      </c>
      <c r="B14" s="13" t="n">
        <f aca="false">COUNTA('Evidence Requests'!$A$5:$A$87)</f>
        <v>83</v>
      </c>
    </row>
    <row r="15" customFormat="false" ht="15" hidden="false" customHeight="false" outlineLevel="0" collapsed="false">
      <c r="A15" s="7" t="s">
        <v>93</v>
      </c>
      <c r="B15" s="13" t="n">
        <f aca="false">COUNTIF('Evidence Requests'!$M$5:$M$87,"Yes*")</f>
        <v>0</v>
      </c>
    </row>
    <row r="17" customFormat="false" ht="15" hidden="false" customHeight="false" outlineLevel="0" collapsed="false">
      <c r="A17" s="4" t="s">
        <v>94</v>
      </c>
      <c r="B17" s="5"/>
      <c r="C17" s="5"/>
      <c r="D17" s="5"/>
      <c r="E17" s="5"/>
      <c r="F17" s="5"/>
      <c r="G17" s="5"/>
      <c r="H17" s="5"/>
    </row>
    <row r="18" customFormat="false" ht="30" hidden="false" customHeight="true" outlineLevel="0" collapsed="false">
      <c r="A18" s="12" t="s">
        <v>85</v>
      </c>
      <c r="B18" s="12" t="s">
        <v>95</v>
      </c>
      <c r="C18" s="12" t="s">
        <v>49</v>
      </c>
    </row>
    <row r="19" customFormat="false" ht="15" hidden="false" customHeight="false" outlineLevel="0" collapsed="false">
      <c r="A19" s="7" t="s">
        <v>96</v>
      </c>
      <c r="B19" s="13" t="n">
        <f aca="false">COUNTIF(Findings!$T$5:$T$33,"In Progress (Simulated)")</f>
        <v>8</v>
      </c>
      <c r="C19" s="13" t="n">
        <f aca="false">COUNTIF('Remediation Actions'!$J$5:$J$34,"In Progress (Simulated)")</f>
        <v>8</v>
      </c>
    </row>
    <row r="20" customFormat="false" ht="15" hidden="false" customHeight="false" outlineLevel="0" collapsed="false">
      <c r="A20" s="7" t="s">
        <v>97</v>
      </c>
      <c r="B20" s="13" t="n">
        <f aca="false">COUNTIF(Findings!$T$5:$T$33,"Open (Simulated)")</f>
        <v>10</v>
      </c>
      <c r="C20" s="13" t="n">
        <f aca="false">COUNTIF('Remediation Actions'!$J$5:$J$34,"Open (Simulated)")</f>
        <v>11</v>
      </c>
    </row>
    <row r="21" customFormat="false" ht="23.85" hidden="false" customHeight="false" outlineLevel="0" collapsed="false">
      <c r="A21" s="7" t="s">
        <v>98</v>
      </c>
      <c r="B21" s="13" t="n">
        <f aca="false">COUNTIF(Findings!$T$5:$T$33,"Reported Remediated (Sim.) — Process Fix Open")</f>
        <v>1</v>
      </c>
      <c r="C21" s="13" t="n">
        <f aca="false">COUNTIF('Remediation Actions'!$J$5:$J$34,"Reported Remediated (Sim.) — Process Fix Open")</f>
        <v>0</v>
      </c>
    </row>
    <row r="22" customFormat="false" ht="15" hidden="false" customHeight="false" outlineLevel="0" collapsed="false">
      <c r="A22" s="7" t="s">
        <v>99</v>
      </c>
      <c r="B22" s="13" t="n">
        <f aca="false">COUNTIF(Findings!$T$5:$T$33,"Accepted by Owner (per source)")</f>
        <v>1</v>
      </c>
      <c r="C22" s="13" t="n">
        <f aca="false">COUNTIF('Remediation Actions'!$J$5:$J$34,"Accepted by Owner (per source)")</f>
        <v>1</v>
      </c>
    </row>
    <row r="23" customFormat="false" ht="15" hidden="false" customHeight="false" outlineLevel="0" collapsed="false">
      <c r="A23" s="7" t="s">
        <v>100</v>
      </c>
      <c r="B23" s="13" t="n">
        <f aca="false">COUNTIF(Findings!$T$5:$T$33,"No Status in Source")</f>
        <v>9</v>
      </c>
      <c r="C23" s="13" t="n">
        <f aca="false">COUNTIF('Remediation Actions'!$J$5:$J$34,"No Status in Source")</f>
        <v>9</v>
      </c>
    </row>
    <row r="24" customFormat="false" ht="23.85" hidden="false" customHeight="false" outlineLevel="0" collapsed="false">
      <c r="A24" s="7" t="s">
        <v>101</v>
      </c>
      <c r="B24" s="13" t="s">
        <v>102</v>
      </c>
      <c r="C24" s="13" t="n">
        <f aca="false">COUNTIF('Remediation Actions'!$J$5:$J$34,"Reported Remediated (Simulated)")</f>
        <v>1</v>
      </c>
    </row>
    <row r="25" customFormat="false" ht="15" hidden="false" customHeight="false" outlineLevel="0" collapsed="false">
      <c r="A25" s="14" t="s">
        <v>103</v>
      </c>
      <c r="B25" s="15" t="n">
        <f aca="false">SUM(B19:B23)</f>
        <v>29</v>
      </c>
      <c r="C25" s="15" t="n">
        <f aca="false">SUM(C19:C24)</f>
        <v>30</v>
      </c>
    </row>
    <row r="26" customFormat="false" ht="15" hidden="false" customHeight="false" outlineLevel="0" collapsed="false">
      <c r="A26" s="14" t="s">
        <v>104</v>
      </c>
      <c r="B26" s="15" t="n">
        <f aca="false">COUNTIF(Findings!$U$5:$U$33,"Validated*")</f>
        <v>0</v>
      </c>
      <c r="C26" s="15" t="n">
        <f aca="false">COUNTIF('Remediation Actions'!$O$5:$O$34,"Validated*")</f>
        <v>0</v>
      </c>
      <c r="D26" s="3" t="s">
        <v>105</v>
      </c>
    </row>
    <row r="27" customFormat="false" ht="15" hidden="false" customHeight="false" outlineLevel="0" collapsed="false">
      <c r="A27" s="7" t="s">
        <v>106</v>
      </c>
      <c r="B27" s="13" t="n">
        <f aca="false">COUNTIF(Findings!$U$5:$U$33,"Not performed*")</f>
        <v>29</v>
      </c>
      <c r="C27" s="13" t="n">
        <f aca="false">COUNTIF('Remediation Actions'!$O$5:$O$34,"Not performed*")</f>
        <v>30</v>
      </c>
    </row>
    <row r="29" customFormat="false" ht="15" hidden="false" customHeight="false" outlineLevel="0" collapsed="false">
      <c r="A29" s="4" t="s">
        <v>107</v>
      </c>
      <c r="B29" s="5"/>
      <c r="C29" s="5"/>
      <c r="D29" s="5"/>
      <c r="E29" s="5"/>
      <c r="F29" s="5"/>
      <c r="G29" s="5"/>
      <c r="H29" s="5"/>
    </row>
    <row r="30" customFormat="false" ht="30" hidden="false" customHeight="true" outlineLevel="0" collapsed="false">
      <c r="A30" s="12" t="s">
        <v>108</v>
      </c>
      <c r="B30" s="12" t="s">
        <v>109</v>
      </c>
      <c r="C30" s="12" t="s">
        <v>88</v>
      </c>
      <c r="D30" s="12" t="s">
        <v>89</v>
      </c>
      <c r="E30" s="12" t="s">
        <v>110</v>
      </c>
    </row>
    <row r="31" customFormat="false" ht="15" hidden="false" customHeight="false" outlineLevel="0" collapsed="false">
      <c r="A31" s="7" t="s">
        <v>111</v>
      </c>
      <c r="B31" s="13" t="n">
        <f aca="false">COUNTIFS(Findings!$O$5:$O$33,"High",Findings!$L$5:$L$33,"Confirmed Finding (Simulated)")</f>
        <v>2</v>
      </c>
      <c r="C31" s="13" t="n">
        <f aca="false">COUNTIFS(Findings!$O$5:$O$33,"High",Findings!$L$5:$L$33,"Observation")</f>
        <v>0</v>
      </c>
      <c r="D31" s="13" t="n">
        <f aca="false">COUNTIFS(Findings!$O$5:$O$33,"High",Findings!$L$5:$L$33,"Planning Gap")</f>
        <v>0</v>
      </c>
      <c r="E31" s="13" t="n">
        <f aca="false">SUM(B31:D31)</f>
        <v>2</v>
      </c>
    </row>
    <row r="32" customFormat="false" ht="15" hidden="false" customHeight="false" outlineLevel="0" collapsed="false">
      <c r="A32" s="7" t="s">
        <v>112</v>
      </c>
      <c r="B32" s="13" t="n">
        <f aca="false">COUNTIFS(Findings!$O$5:$O$33,"Medium-High",Findings!$L$5:$L$33,"Confirmed Finding (Simulated)")</f>
        <v>1</v>
      </c>
      <c r="C32" s="13" t="n">
        <f aca="false">COUNTIFS(Findings!$O$5:$O$33,"Medium-High",Findings!$L$5:$L$33,"Observation")</f>
        <v>0</v>
      </c>
      <c r="D32" s="13" t="n">
        <f aca="false">COUNTIFS(Findings!$O$5:$O$33,"Medium-High",Findings!$L$5:$L$33,"Planning Gap")</f>
        <v>0</v>
      </c>
      <c r="E32" s="13" t="n">
        <f aca="false">SUM(B32:D32)</f>
        <v>1</v>
      </c>
    </row>
    <row r="33" customFormat="false" ht="15" hidden="false" customHeight="false" outlineLevel="0" collapsed="false">
      <c r="A33" s="7" t="s">
        <v>113</v>
      </c>
      <c r="B33" s="13" t="n">
        <f aca="false">COUNTIFS(Findings!$O$5:$O$33,"Medium",Findings!$L$5:$L$33,"Confirmed Finding (Simulated)")</f>
        <v>9</v>
      </c>
      <c r="C33" s="13" t="n">
        <f aca="false">COUNTIFS(Findings!$O$5:$O$33,"Medium",Findings!$L$5:$L$33,"Observation")</f>
        <v>0</v>
      </c>
      <c r="D33" s="13" t="n">
        <f aca="false">COUNTIFS(Findings!$O$5:$O$33,"Medium",Findings!$L$5:$L$33,"Planning Gap")</f>
        <v>0</v>
      </c>
      <c r="E33" s="13" t="n">
        <f aca="false">SUM(B33:D33)</f>
        <v>9</v>
      </c>
    </row>
    <row r="34" customFormat="false" ht="15" hidden="false" customHeight="false" outlineLevel="0" collapsed="false">
      <c r="A34" s="7" t="s">
        <v>114</v>
      </c>
      <c r="B34" s="13" t="n">
        <f aca="false">COUNTIFS(Findings!$O$5:$O$33,"Low",Findings!$L$5:$L$33,"Confirmed Finding (Simulated)")</f>
        <v>0</v>
      </c>
      <c r="C34" s="13" t="n">
        <f aca="false">COUNTIFS(Findings!$O$5:$O$33,"Low",Findings!$L$5:$L$33,"Observation")</f>
        <v>8</v>
      </c>
      <c r="D34" s="13" t="n">
        <f aca="false">COUNTIFS(Findings!$O$5:$O$33,"Low",Findings!$L$5:$L$33,"Planning Gap")</f>
        <v>0</v>
      </c>
      <c r="E34" s="13" t="n">
        <f aca="false">SUM(B34:D34)</f>
        <v>8</v>
      </c>
    </row>
    <row r="35" customFormat="false" ht="15" hidden="false" customHeight="false" outlineLevel="0" collapsed="false">
      <c r="A35" s="7" t="s">
        <v>115</v>
      </c>
      <c r="B35" s="13" t="n">
        <f aca="false">COUNTIFS(Findings!$O$5:$O$33,"Not Rated",Findings!$L$5:$L$33,"Confirmed Finding (Simulated)")</f>
        <v>0</v>
      </c>
      <c r="C35" s="13" t="n">
        <f aca="false">COUNTIFS(Findings!$O$5:$O$33,"Not Rated",Findings!$L$5:$L$33,"Observation")</f>
        <v>5</v>
      </c>
      <c r="D35" s="13" t="n">
        <f aca="false">COUNTIFS(Findings!$O$5:$O$33,"Not Rated",Findings!$L$5:$L$33,"Planning Gap")</f>
        <v>4</v>
      </c>
      <c r="E35" s="13" t="n">
        <f aca="false">SUM(B35:D35)</f>
        <v>9</v>
      </c>
    </row>
    <row r="36" customFormat="false" ht="15" hidden="false" customHeight="false" outlineLevel="0" collapsed="false">
      <c r="A36" s="14" t="s">
        <v>110</v>
      </c>
      <c r="B36" s="15" t="n">
        <f aca="false">SUM(B31:B35)</f>
        <v>12</v>
      </c>
      <c r="C36" s="15" t="n">
        <f aca="false">SUM(C31:C35)</f>
        <v>13</v>
      </c>
      <c r="D36" s="15" t="n">
        <f aca="false">SUM(D31:D35)</f>
        <v>4</v>
      </c>
      <c r="E36" s="15" t="n">
        <f aca="false">SUM(E31:E35)</f>
        <v>29</v>
      </c>
    </row>
    <row r="38" customFormat="false" ht="15" hidden="false" customHeight="false" outlineLevel="0" collapsed="false">
      <c r="A38" s="4" t="s">
        <v>116</v>
      </c>
      <c r="B38" s="5"/>
      <c r="C38" s="5"/>
      <c r="D38" s="5"/>
      <c r="E38" s="5"/>
      <c r="F38" s="5"/>
      <c r="G38" s="5"/>
      <c r="H38" s="5"/>
    </row>
    <row r="39" customFormat="false" ht="30" hidden="false" customHeight="true" outlineLevel="0" collapsed="false">
      <c r="A39" s="12" t="s">
        <v>117</v>
      </c>
      <c r="B39" s="12" t="s">
        <v>118</v>
      </c>
      <c r="C39" s="12" t="s">
        <v>47</v>
      </c>
      <c r="D39" s="12" t="s">
        <v>88</v>
      </c>
      <c r="E39" s="12" t="s">
        <v>89</v>
      </c>
      <c r="F39" s="12" t="s">
        <v>119</v>
      </c>
      <c r="G39" s="12" t="s">
        <v>120</v>
      </c>
    </row>
    <row r="40" customFormat="false" ht="15" hidden="false" customHeight="false" outlineLevel="0" collapsed="false">
      <c r="A40" s="7" t="str">
        <f aca="false">'Source Index'!A5&amp;" — "&amp;'Source Index'!B5</f>
        <v>MAL-CHK-001 — AI Training Data Validation Checklist</v>
      </c>
      <c r="B40" s="13" t="str">
        <f aca="false">'Source Index'!H5</f>
        <v>Effective</v>
      </c>
      <c r="C40" s="13" t="n">
        <f aca="false">'Source Index'!N5</f>
        <v>0</v>
      </c>
      <c r="D40" s="13" t="n">
        <f aca="false">'Source Index'!O5</f>
        <v>1</v>
      </c>
      <c r="E40" s="13" t="n">
        <f aca="false">'Source Index'!P5</f>
        <v>0</v>
      </c>
      <c r="F40" s="13" t="n">
        <f aca="false">'Source Index'!Q5</f>
        <v>5</v>
      </c>
      <c r="G40" s="13" t="str">
        <f aca="false">'Source Index'!R5</f>
        <v>Match</v>
      </c>
    </row>
    <row r="41" customFormat="false" ht="15" hidden="false" customHeight="false" outlineLevel="0" collapsed="false">
      <c r="A41" s="7" t="str">
        <f aca="false">'Source Index'!A6&amp;" — "&amp;'Source Index'!B6</f>
        <v>MAL-ACR-002 — User Access Review Worksheet</v>
      </c>
      <c r="B41" s="13" t="str">
        <f aca="false">'Source Index'!H6</f>
        <v>Partially Effective</v>
      </c>
      <c r="C41" s="13" t="n">
        <f aca="false">'Source Index'!N6</f>
        <v>3</v>
      </c>
      <c r="D41" s="13" t="n">
        <f aca="false">'Source Index'!O6</f>
        <v>0</v>
      </c>
      <c r="E41" s="13" t="n">
        <f aca="false">'Source Index'!P6</f>
        <v>0</v>
      </c>
      <c r="F41" s="13" t="n">
        <f aca="false">'Source Index'!Q6</f>
        <v>6</v>
      </c>
      <c r="G41" s="13" t="str">
        <f aca="false">'Source Index'!R6</f>
        <v>Match</v>
      </c>
    </row>
    <row r="42" customFormat="false" ht="23.85" hidden="false" customHeight="false" outlineLevel="0" collapsed="false">
      <c r="A42" s="7" t="str">
        <f aca="false">'Source Index'!A7&amp;" — "&amp;'Source Index'!B7</f>
        <v>MAL-CTW-003 — Change Management Control Test Worksheet</v>
      </c>
      <c r="B42" s="13" t="str">
        <f aca="false">'Source Index'!H7</f>
        <v>Effective</v>
      </c>
      <c r="C42" s="13" t="n">
        <f aca="false">'Source Index'!N7</f>
        <v>0</v>
      </c>
      <c r="D42" s="13" t="n">
        <f aca="false">'Source Index'!O7</f>
        <v>1</v>
      </c>
      <c r="E42" s="13" t="n">
        <f aca="false">'Source Index'!P7</f>
        <v>0</v>
      </c>
      <c r="F42" s="13" t="n">
        <f aca="false">'Source Index'!Q7</f>
        <v>7</v>
      </c>
      <c r="G42" s="13" t="str">
        <f aca="false">'Source Index'!R7</f>
        <v>Match</v>
      </c>
    </row>
    <row r="43" customFormat="false" ht="23.85" hidden="false" customHeight="false" outlineLevel="0" collapsed="false">
      <c r="A43" s="7" t="str">
        <f aca="false">'Source Index'!A8&amp;" — "&amp;'Source Index'!B8</f>
        <v>MAL-STD-004 — Privileged Access &amp; Multi-Factor Authentication Security Standard</v>
      </c>
      <c r="B43" s="13" t="str">
        <f aca="false">'Source Index'!H8</f>
        <v>Effective</v>
      </c>
      <c r="C43" s="13" t="n">
        <f aca="false">'Source Index'!N8</f>
        <v>0</v>
      </c>
      <c r="D43" s="13" t="n">
        <f aca="false">'Source Index'!O8</f>
        <v>1</v>
      </c>
      <c r="E43" s="13" t="n">
        <f aca="false">'Source Index'!P8</f>
        <v>0</v>
      </c>
      <c r="F43" s="13" t="n">
        <f aca="false">'Source Index'!Q8</f>
        <v>9</v>
      </c>
      <c r="G43" s="13" t="str">
        <f aca="false">'Source Index'!R8</f>
        <v>Match</v>
      </c>
    </row>
    <row r="44" customFormat="false" ht="23.85" hidden="false" customHeight="false" outlineLevel="0" collapsed="false">
      <c r="A44" s="7" t="str">
        <f aca="false">'Source Index'!A9&amp;" — "&amp;'Source Index'!B9</f>
        <v>MAL-VMA-005 — Vulnerability Management Control Assessment / Test Report</v>
      </c>
      <c r="B44" s="13" t="str">
        <f aca="false">'Source Index'!H9</f>
        <v>Partially Effective</v>
      </c>
      <c r="C44" s="13" t="n">
        <f aca="false">'Source Index'!N9</f>
        <v>2</v>
      </c>
      <c r="D44" s="13" t="n">
        <f aca="false">'Source Index'!O9</f>
        <v>2</v>
      </c>
      <c r="E44" s="13" t="n">
        <f aca="false">'Source Index'!P9</f>
        <v>0</v>
      </c>
      <c r="F44" s="13" t="n">
        <f aca="false">'Source Index'!Q9</f>
        <v>7</v>
      </c>
      <c r="G44" s="13" t="str">
        <f aca="false">'Source Index'!R9</f>
        <v>Match</v>
      </c>
    </row>
    <row r="45" customFormat="false" ht="23.85" hidden="false" customHeight="false" outlineLevel="0" collapsed="false">
      <c r="A45" s="7" t="str">
        <f aca="false">'Source Index'!A10&amp;" — "&amp;'Source Index'!B10</f>
        <v>MAL-PIA-006 — AI Privacy Impact Assessment (DPIA-Aligned)</v>
      </c>
      <c r="B45" s="13" t="str">
        <f aca="false">'Source Index'!H10</f>
        <v>Partially Effective</v>
      </c>
      <c r="C45" s="13" t="n">
        <f aca="false">'Source Index'!N10</f>
        <v>2</v>
      </c>
      <c r="D45" s="13" t="n">
        <f aca="false">'Source Index'!O10</f>
        <v>2</v>
      </c>
      <c r="E45" s="13" t="n">
        <f aca="false">'Source Index'!P10</f>
        <v>0</v>
      </c>
      <c r="F45" s="13" t="n">
        <f aca="false">'Source Index'!Q10</f>
        <v>7</v>
      </c>
      <c r="G45" s="13" t="str">
        <f aca="false">'Source Index'!R10</f>
        <v>Match</v>
      </c>
    </row>
    <row r="46" customFormat="false" ht="15" hidden="false" customHeight="false" outlineLevel="0" collapsed="false">
      <c r="A46" s="7" t="str">
        <f aca="false">'Source Index'!A11&amp;" — "&amp;'Source Index'!B11</f>
        <v>MAL-BRT-007 — Backup &amp; Recovery Test Record</v>
      </c>
      <c r="B46" s="13" t="str">
        <f aca="false">'Source Index'!H11</f>
        <v>Effective</v>
      </c>
      <c r="C46" s="13" t="n">
        <f aca="false">'Source Index'!N11</f>
        <v>0</v>
      </c>
      <c r="D46" s="13" t="n">
        <f aca="false">'Source Index'!O11</f>
        <v>1</v>
      </c>
      <c r="E46" s="13" t="n">
        <f aca="false">'Source Index'!P11</f>
        <v>0</v>
      </c>
      <c r="F46" s="13" t="n">
        <f aca="false">'Source Index'!Q11</f>
        <v>8</v>
      </c>
      <c r="G46" s="13" t="str">
        <f aca="false">'Source Index'!R11</f>
        <v>Match</v>
      </c>
    </row>
    <row r="47" customFormat="false" ht="23.85" hidden="false" customHeight="false" outlineLevel="0" collapsed="false">
      <c r="A47" s="7" t="str">
        <f aca="false">'Source Index'!A12&amp;" — "&amp;'Source Index'!B12</f>
        <v>MAL-LMA-008 — Security Logging &amp; Monitoring Control Assessment</v>
      </c>
      <c r="B47" s="13" t="str">
        <f aca="false">'Source Index'!H12</f>
        <v>Partially Effective</v>
      </c>
      <c r="C47" s="13" t="n">
        <f aca="false">'Source Index'!N12</f>
        <v>2</v>
      </c>
      <c r="D47" s="13" t="n">
        <f aca="false">'Source Index'!O12</f>
        <v>3</v>
      </c>
      <c r="E47" s="13" t="n">
        <f aca="false">'Source Index'!P12</f>
        <v>0</v>
      </c>
      <c r="F47" s="13" t="n">
        <f aca="false">'Source Index'!Q12</f>
        <v>8</v>
      </c>
      <c r="G47" s="13" t="str">
        <f aca="false">'Source Index'!R12</f>
        <v>Match</v>
      </c>
    </row>
    <row r="48" customFormat="false" ht="35.05" hidden="false" customHeight="false" outlineLevel="0" collapsed="false">
      <c r="A48" s="7" t="str">
        <f aca="false">'Source Index'!A13&amp;" — "&amp;'Source Index'!B13</f>
        <v>MAL-CAP-009 — Compliance Assessment Plan &amp; Evidence Request</v>
      </c>
      <c r="B48" s="13" t="str">
        <f aca="false">'Source Index'!H13</f>
        <v>Not Tested (Effectiveness Not Concluded)</v>
      </c>
      <c r="C48" s="13" t="n">
        <f aca="false">'Source Index'!N13</f>
        <v>0</v>
      </c>
      <c r="D48" s="13" t="n">
        <f aca="false">'Source Index'!O13</f>
        <v>0</v>
      </c>
      <c r="E48" s="13" t="n">
        <f aca="false">'Source Index'!P13</f>
        <v>4</v>
      </c>
      <c r="F48" s="13" t="n">
        <f aca="false">'Source Index'!Q13</f>
        <v>12</v>
      </c>
      <c r="G48" s="13" t="str">
        <f aca="false">'Source Index'!R13</f>
        <v>Match</v>
      </c>
    </row>
    <row r="49" customFormat="false" ht="23.85" hidden="false" customHeight="false" outlineLevel="0" collapsed="false">
      <c r="A49" s="7" t="str">
        <f aca="false">'Source Index'!A14&amp;" — "&amp;'Source Index'!B14</f>
        <v>MAL-VRA-010 — Third-Party AI Vendor Risk Assessment</v>
      </c>
      <c r="B49" s="13" t="str">
        <f aca="false">'Source Index'!H14</f>
        <v>Ineffective</v>
      </c>
      <c r="C49" s="13" t="n">
        <f aca="false">'Source Index'!N14</f>
        <v>3</v>
      </c>
      <c r="D49" s="13" t="n">
        <f aca="false">'Source Index'!O14</f>
        <v>2</v>
      </c>
      <c r="E49" s="13" t="n">
        <f aca="false">'Source Index'!P14</f>
        <v>0</v>
      </c>
      <c r="F49" s="13" t="n">
        <f aca="false">'Source Index'!Q14</f>
        <v>14</v>
      </c>
      <c r="G49" s="13" t="str">
        <f aca="false">'Source Index'!R14</f>
        <v>Match</v>
      </c>
    </row>
    <row r="50" customFormat="false" ht="15" hidden="false" customHeight="false" outlineLevel="0" collapsed="false">
      <c r="A50" s="14" t="s">
        <v>110</v>
      </c>
      <c r="B50" s="15"/>
      <c r="C50" s="15" t="n">
        <f aca="false">SUM(C40:C49)</f>
        <v>12</v>
      </c>
      <c r="D50" s="15" t="n">
        <f aca="false">SUM(D40:D49)</f>
        <v>13</v>
      </c>
      <c r="E50" s="15" t="n">
        <f aca="false">SUM(E40:E49)</f>
        <v>4</v>
      </c>
      <c r="F50" s="15" t="n">
        <f aca="false">SUM(F40:F49)</f>
        <v>83</v>
      </c>
      <c r="G50" s="15" t="str">
        <f aca="false">'Source Index'!R16</f>
        <v>All Match</v>
      </c>
    </row>
    <row r="52" customFormat="false" ht="15" hidden="false" customHeight="false" outlineLevel="0" collapsed="false">
      <c r="A52" s="4" t="s">
        <v>121</v>
      </c>
      <c r="B52" s="5"/>
      <c r="C52" s="5"/>
      <c r="D52" s="5"/>
      <c r="E52" s="5"/>
      <c r="F52" s="5"/>
      <c r="G52" s="5"/>
      <c r="H52" s="5"/>
    </row>
    <row r="53" customFormat="false" ht="30" hidden="false" customHeight="true" outlineLevel="0" collapsed="false">
      <c r="A53" s="12" t="s">
        <v>122</v>
      </c>
      <c r="B53" s="12" t="s">
        <v>109</v>
      </c>
      <c r="C53" s="12" t="s">
        <v>88</v>
      </c>
      <c r="D53" s="12" t="s">
        <v>89</v>
      </c>
      <c r="E53" s="12" t="s">
        <v>110</v>
      </c>
    </row>
    <row r="54" customFormat="false" ht="15" hidden="false" customHeight="false" outlineLevel="0" collapsed="false">
      <c r="A54" s="7" t="s">
        <v>123</v>
      </c>
      <c r="B54" s="13" t="n">
        <f aca="false">COUNTIFS(Findings!$Q$5:$Q$33,$A54,Findings!$L$5:$L$33,"Confirmed Finding (Simulated)")</f>
        <v>3</v>
      </c>
      <c r="C54" s="13" t="n">
        <f aca="false">COUNTIFS(Findings!$Q$5:$Q$33,$A54,Findings!$L$5:$L$33,"Observation")</f>
        <v>1</v>
      </c>
      <c r="D54" s="13" t="n">
        <f aca="false">COUNTIFS(Findings!$Q$5:$Q$33,$A54,Findings!$L$5:$L$33,"Planning Gap")</f>
        <v>0</v>
      </c>
      <c r="E54" s="13" t="n">
        <f aca="false">SUM(B54:D54)</f>
        <v>4</v>
      </c>
    </row>
    <row r="55" customFormat="false" ht="15" hidden="false" customHeight="false" outlineLevel="0" collapsed="false">
      <c r="A55" s="7" t="s">
        <v>124</v>
      </c>
      <c r="B55" s="13" t="n">
        <f aca="false">COUNTIFS(Findings!$Q$5:$Q$33,$A55,Findings!$L$5:$L$33,"Confirmed Finding (Simulated)")</f>
        <v>0</v>
      </c>
      <c r="C55" s="13" t="n">
        <f aca="false">COUNTIFS(Findings!$Q$5:$Q$33,$A55,Findings!$L$5:$L$33,"Observation")</f>
        <v>1</v>
      </c>
      <c r="D55" s="13" t="n">
        <f aca="false">COUNTIFS(Findings!$Q$5:$Q$33,$A55,Findings!$L$5:$L$33,"Planning Gap")</f>
        <v>0</v>
      </c>
      <c r="E55" s="13" t="n">
        <f aca="false">SUM(B55:D55)</f>
        <v>1</v>
      </c>
    </row>
    <row r="56" customFormat="false" ht="15" hidden="false" customHeight="false" outlineLevel="0" collapsed="false">
      <c r="A56" s="7" t="s">
        <v>125</v>
      </c>
      <c r="B56" s="13" t="n">
        <f aca="false">COUNTIFS(Findings!$Q$5:$Q$33,$A56,Findings!$L$5:$L$33,"Confirmed Finding (Simulated)")</f>
        <v>0</v>
      </c>
      <c r="C56" s="13" t="n">
        <f aca="false">COUNTIFS(Findings!$Q$5:$Q$33,$A56,Findings!$L$5:$L$33,"Observation")</f>
        <v>1</v>
      </c>
      <c r="D56" s="13" t="n">
        <f aca="false">COUNTIFS(Findings!$Q$5:$Q$33,$A56,Findings!$L$5:$L$33,"Planning Gap")</f>
        <v>0</v>
      </c>
      <c r="E56" s="13" t="n">
        <f aca="false">SUM(B56:D56)</f>
        <v>1</v>
      </c>
    </row>
    <row r="57" customFormat="false" ht="15" hidden="false" customHeight="false" outlineLevel="0" collapsed="false">
      <c r="A57" s="7" t="s">
        <v>126</v>
      </c>
      <c r="B57" s="13" t="n">
        <f aca="false">COUNTIFS(Findings!$Q$5:$Q$33,$A57,Findings!$L$5:$L$33,"Confirmed Finding (Simulated)")</f>
        <v>2</v>
      </c>
      <c r="C57" s="13" t="n">
        <f aca="false">COUNTIFS(Findings!$Q$5:$Q$33,$A57,Findings!$L$5:$L$33,"Observation")</f>
        <v>2</v>
      </c>
      <c r="D57" s="13" t="n">
        <f aca="false">COUNTIFS(Findings!$Q$5:$Q$33,$A57,Findings!$L$5:$L$33,"Planning Gap")</f>
        <v>0</v>
      </c>
      <c r="E57" s="13" t="n">
        <f aca="false">SUM(B57:D57)</f>
        <v>4</v>
      </c>
    </row>
    <row r="58" customFormat="false" ht="15" hidden="false" customHeight="false" outlineLevel="0" collapsed="false">
      <c r="A58" s="7" t="s">
        <v>127</v>
      </c>
      <c r="B58" s="13" t="n">
        <f aca="false">COUNTIFS(Findings!$Q$5:$Q$33,$A58,Findings!$L$5:$L$33,"Confirmed Finding (Simulated)")</f>
        <v>2</v>
      </c>
      <c r="C58" s="13" t="n">
        <f aca="false">COUNTIFS(Findings!$Q$5:$Q$33,$A58,Findings!$L$5:$L$33,"Observation")</f>
        <v>2</v>
      </c>
      <c r="D58" s="13" t="n">
        <f aca="false">COUNTIFS(Findings!$Q$5:$Q$33,$A58,Findings!$L$5:$L$33,"Planning Gap")</f>
        <v>0</v>
      </c>
      <c r="E58" s="13" t="n">
        <f aca="false">SUM(B58:D58)</f>
        <v>4</v>
      </c>
    </row>
    <row r="59" customFormat="false" ht="15" hidden="false" customHeight="false" outlineLevel="0" collapsed="false">
      <c r="A59" s="7" t="s">
        <v>128</v>
      </c>
      <c r="B59" s="13" t="n">
        <f aca="false">COUNTIFS(Findings!$Q$5:$Q$33,$A59,Findings!$L$5:$L$33,"Confirmed Finding (Simulated)")</f>
        <v>0</v>
      </c>
      <c r="C59" s="13" t="n">
        <f aca="false">COUNTIFS(Findings!$Q$5:$Q$33,$A59,Findings!$L$5:$L$33,"Observation")</f>
        <v>1</v>
      </c>
      <c r="D59" s="13" t="n">
        <f aca="false">COUNTIFS(Findings!$Q$5:$Q$33,$A59,Findings!$L$5:$L$33,"Planning Gap")</f>
        <v>0</v>
      </c>
      <c r="E59" s="13" t="n">
        <f aca="false">SUM(B59:D59)</f>
        <v>1</v>
      </c>
    </row>
    <row r="60" customFormat="false" ht="15" hidden="false" customHeight="false" outlineLevel="0" collapsed="false">
      <c r="A60" s="7" t="s">
        <v>129</v>
      </c>
      <c r="B60" s="13" t="n">
        <f aca="false">COUNTIFS(Findings!$Q$5:$Q$33,$A60,Findings!$L$5:$L$33,"Confirmed Finding (Simulated)")</f>
        <v>2</v>
      </c>
      <c r="C60" s="13" t="n">
        <f aca="false">COUNTIFS(Findings!$Q$5:$Q$33,$A60,Findings!$L$5:$L$33,"Observation")</f>
        <v>2</v>
      </c>
      <c r="D60" s="13" t="n">
        <f aca="false">COUNTIFS(Findings!$Q$5:$Q$33,$A60,Findings!$L$5:$L$33,"Planning Gap")</f>
        <v>0</v>
      </c>
      <c r="E60" s="13" t="n">
        <f aca="false">SUM(B60:D60)</f>
        <v>4</v>
      </c>
    </row>
    <row r="61" customFormat="false" ht="15" hidden="false" customHeight="false" outlineLevel="0" collapsed="false">
      <c r="A61" s="7" t="s">
        <v>130</v>
      </c>
      <c r="B61" s="13" t="n">
        <f aca="false">COUNTIFS(Findings!$Q$5:$Q$33,$A61,Findings!$L$5:$L$33,"Confirmed Finding (Simulated)")</f>
        <v>3</v>
      </c>
      <c r="C61" s="13" t="n">
        <f aca="false">COUNTIFS(Findings!$Q$5:$Q$33,$A61,Findings!$L$5:$L$33,"Observation")</f>
        <v>2</v>
      </c>
      <c r="D61" s="13" t="n">
        <f aca="false">COUNTIFS(Findings!$Q$5:$Q$33,$A61,Findings!$L$5:$L$33,"Planning Gap")</f>
        <v>0</v>
      </c>
      <c r="E61" s="13" t="n">
        <f aca="false">SUM(B61:D61)</f>
        <v>5</v>
      </c>
    </row>
    <row r="62" customFormat="false" ht="15" hidden="false" customHeight="false" outlineLevel="0" collapsed="false">
      <c r="A62" s="7" t="s">
        <v>131</v>
      </c>
      <c r="B62" s="13" t="n">
        <f aca="false">COUNTIFS(Findings!$Q$5:$Q$33,$A62,Findings!$L$5:$L$33,"Confirmed Finding (Simulated)")</f>
        <v>0</v>
      </c>
      <c r="C62" s="13" t="n">
        <f aca="false">COUNTIFS(Findings!$Q$5:$Q$33,$A62,Findings!$L$5:$L$33,"Observation")</f>
        <v>0</v>
      </c>
      <c r="D62" s="13" t="n">
        <f aca="false">COUNTIFS(Findings!$Q$5:$Q$33,$A62,Findings!$L$5:$L$33,"Planning Gap")</f>
        <v>1</v>
      </c>
      <c r="E62" s="13" t="n">
        <f aca="false">SUM(B62:D62)</f>
        <v>1</v>
      </c>
    </row>
    <row r="63" customFormat="false" ht="15" hidden="false" customHeight="false" outlineLevel="0" collapsed="false">
      <c r="A63" s="7" t="s">
        <v>132</v>
      </c>
      <c r="B63" s="13" t="n">
        <f aca="false">COUNTIFS(Findings!$Q$5:$Q$33,$A63,Findings!$L$5:$L$33,"Confirmed Finding (Simulated)")</f>
        <v>0</v>
      </c>
      <c r="C63" s="13" t="n">
        <f aca="false">COUNTIFS(Findings!$Q$5:$Q$33,$A63,Findings!$L$5:$L$33,"Observation")</f>
        <v>1</v>
      </c>
      <c r="D63" s="13" t="n">
        <f aca="false">COUNTIFS(Findings!$Q$5:$Q$33,$A63,Findings!$L$5:$L$33,"Planning Gap")</f>
        <v>3</v>
      </c>
      <c r="E63" s="13" t="n">
        <f aca="false">SUM(B63:D63)</f>
        <v>4</v>
      </c>
    </row>
    <row r="64" customFormat="false" ht="15" hidden="false" customHeight="false" outlineLevel="0" collapsed="false">
      <c r="A64" s="14" t="s">
        <v>110</v>
      </c>
      <c r="B64" s="15" t="n">
        <f aca="false">SUM(B54:B63)</f>
        <v>12</v>
      </c>
      <c r="C64" s="15" t="n">
        <f aca="false">SUM(C54:C63)</f>
        <v>13</v>
      </c>
      <c r="D64" s="15" t="n">
        <f aca="false">SUM(D54:D63)</f>
        <v>4</v>
      </c>
      <c r="E64" s="15" t="n">
        <f aca="false">SUM(E54:E63)</f>
        <v>29</v>
      </c>
    </row>
    <row r="66" customFormat="false" ht="15" hidden="false" customHeight="false" outlineLevel="0" collapsed="false">
      <c r="A66" s="4" t="s">
        <v>133</v>
      </c>
      <c r="B66" s="5"/>
      <c r="C66" s="5"/>
      <c r="D66" s="5"/>
      <c r="E66" s="5"/>
      <c r="F66" s="5"/>
      <c r="G66" s="5"/>
      <c r="H66" s="5"/>
    </row>
    <row r="67" customFormat="false" ht="30" hidden="false" customHeight="true" outlineLevel="0" collapsed="false">
      <c r="A67" s="12" t="s">
        <v>134</v>
      </c>
      <c r="B67" s="12" t="s">
        <v>95</v>
      </c>
    </row>
    <row r="68" customFormat="false" ht="15" hidden="false" customHeight="false" outlineLevel="0" collapsed="false">
      <c r="A68" s="7" t="s">
        <v>135</v>
      </c>
      <c r="B68" s="13" t="n">
        <f aca="false">COUNTIFS(Findings!$W$5:$W$33,"&gt;="&amp;DATE(2026,10,1),Findings!$W$5:$W$33,"&lt;="&amp;DATE(2026,10,31))</f>
        <v>3</v>
      </c>
    </row>
    <row r="69" customFormat="false" ht="15" hidden="false" customHeight="false" outlineLevel="0" collapsed="false">
      <c r="A69" s="7" t="s">
        <v>136</v>
      </c>
      <c r="B69" s="13" t="n">
        <f aca="false">COUNTIFS(Findings!$W$5:$W$33,"&gt;="&amp;DATE(2026,11,1),Findings!$W$5:$W$33,"&lt;="&amp;DATE(2026,11,30))</f>
        <v>4</v>
      </c>
    </row>
    <row r="70" customFormat="false" ht="15" hidden="false" customHeight="false" outlineLevel="0" collapsed="false">
      <c r="A70" s="7" t="s">
        <v>137</v>
      </c>
      <c r="B70" s="13" t="n">
        <f aca="false">COUNTIFS(Findings!$W$5:$W$33,"&gt;="&amp;DATE(2026,12,1),Findings!$W$5:$W$33,"&lt;="&amp;DATE(2026,12,31))</f>
        <v>6</v>
      </c>
    </row>
    <row r="71" customFormat="false" ht="15" hidden="false" customHeight="false" outlineLevel="0" collapsed="false">
      <c r="A71" s="7" t="s">
        <v>138</v>
      </c>
      <c r="B71" s="13" t="n">
        <f aca="false">COUNTIF(Findings!$V$5:$V$33,"Q4 2026*")</f>
        <v>2</v>
      </c>
    </row>
    <row r="72" customFormat="false" ht="15" hidden="false" customHeight="false" outlineLevel="0" collapsed="false">
      <c r="A72" s="7" t="s">
        <v>139</v>
      </c>
      <c r="B72" s="13" t="n">
        <f aca="false">COUNTIF(Findings!$V$5:$V$33,"Q1 2027*")</f>
        <v>4</v>
      </c>
    </row>
    <row r="73" customFormat="false" ht="15" hidden="false" customHeight="false" outlineLevel="0" collapsed="false">
      <c r="A73" s="7" t="s">
        <v>140</v>
      </c>
      <c r="B73" s="13" t="n">
        <f aca="false">COUNTIF(Findings!$V$5:$V$33,"Not stated in source")</f>
        <v>10</v>
      </c>
    </row>
    <row r="74" customFormat="false" ht="15" hidden="false" customHeight="false" outlineLevel="0" collapsed="false">
      <c r="A74" s="14" t="s">
        <v>103</v>
      </c>
      <c r="B74" s="15" t="n">
        <f aca="false">SUM(B68:B73)</f>
        <v>29</v>
      </c>
    </row>
    <row r="75" customFormat="false" ht="15" hidden="false" customHeight="false" outlineLevel="0" collapsed="false">
      <c r="A75" s="7" t="s">
        <v>141</v>
      </c>
      <c r="B75" s="13" t="n">
        <f aca="false">COUNTIFS(Findings!$W$5:$W$33,"&gt;="&amp;$B$5,Findings!$W$5:$W$33,"&lt;="&amp;($B$5+30))</f>
        <v>4</v>
      </c>
      <c r="C75" s="3" t="s">
        <v>142</v>
      </c>
    </row>
    <row r="76" customFormat="false" ht="15" hidden="false" customHeight="false" outlineLevel="0" collapsed="false">
      <c r="A76" s="7" t="s">
        <v>143</v>
      </c>
      <c r="B76" s="13" t="n">
        <f aca="false">COUNTIFS(Findings!$W$5:$W$33,"&lt;"&amp;$B$5)</f>
        <v>0</v>
      </c>
    </row>
    <row r="78" customFormat="false" ht="15" hidden="false" customHeight="false" outlineLevel="0" collapsed="false">
      <c r="A78" s="4" t="s">
        <v>144</v>
      </c>
      <c r="B78" s="5"/>
      <c r="C78" s="5"/>
      <c r="D78" s="5"/>
      <c r="E78" s="5"/>
      <c r="F78" s="5"/>
      <c r="G78" s="5"/>
      <c r="H78" s="5"/>
    </row>
    <row r="79" customFormat="false" ht="30" hidden="false" customHeight="true" outlineLevel="0" collapsed="false">
      <c r="A79" s="12" t="s">
        <v>145</v>
      </c>
      <c r="B79" s="12" t="s">
        <v>146</v>
      </c>
      <c r="C79" s="12" t="s">
        <v>147</v>
      </c>
      <c r="D79" s="12" t="s">
        <v>148</v>
      </c>
      <c r="E79" s="12" t="s">
        <v>149</v>
      </c>
      <c r="F79" s="12" t="s">
        <v>150</v>
      </c>
      <c r="G79" s="12"/>
      <c r="H79" s="12" t="s">
        <v>151</v>
      </c>
    </row>
    <row r="80" customFormat="false" ht="23.85" hidden="false" customHeight="true" outlineLevel="0" collapsed="false">
      <c r="A80" s="7" t="s">
        <v>152</v>
      </c>
      <c r="B80" s="7" t="s">
        <v>153</v>
      </c>
      <c r="C80" s="7" t="s">
        <v>154</v>
      </c>
      <c r="D80" s="7" t="s">
        <v>155</v>
      </c>
      <c r="E80" s="7" t="s">
        <v>156</v>
      </c>
      <c r="F80" s="7" t="s">
        <v>157</v>
      </c>
      <c r="G80" s="7"/>
      <c r="H80" s="7" t="s">
        <v>158</v>
      </c>
    </row>
    <row r="81" customFormat="false" ht="46.25" hidden="false" customHeight="true" outlineLevel="0" collapsed="false">
      <c r="A81" s="7" t="s">
        <v>159</v>
      </c>
      <c r="B81" s="7" t="s">
        <v>160</v>
      </c>
      <c r="C81" s="7" t="s">
        <v>161</v>
      </c>
      <c r="D81" s="7" t="s">
        <v>162</v>
      </c>
      <c r="E81" s="7" t="s">
        <v>130</v>
      </c>
      <c r="F81" s="7" t="s">
        <v>163</v>
      </c>
      <c r="G81" s="7"/>
      <c r="H81" s="7" t="s">
        <v>164</v>
      </c>
    </row>
    <row r="82" customFormat="false" ht="46.25" hidden="false" customHeight="true" outlineLevel="0" collapsed="false">
      <c r="A82" s="7" t="s">
        <v>165</v>
      </c>
      <c r="B82" s="7" t="s">
        <v>166</v>
      </c>
      <c r="C82" s="7" t="s">
        <v>167</v>
      </c>
      <c r="D82" s="7" t="s">
        <v>102</v>
      </c>
      <c r="E82" s="7" t="s">
        <v>102</v>
      </c>
      <c r="F82" s="7" t="s">
        <v>168</v>
      </c>
      <c r="G82" s="7"/>
      <c r="H82" s="7" t="s">
        <v>169</v>
      </c>
    </row>
    <row r="83" customFormat="false" ht="35.05" hidden="false" customHeight="true" outlineLevel="0" collapsed="false">
      <c r="A83" s="7" t="s">
        <v>170</v>
      </c>
      <c r="B83" s="7" t="s">
        <v>171</v>
      </c>
      <c r="C83" s="7" t="s">
        <v>167</v>
      </c>
      <c r="D83" s="7" t="s">
        <v>102</v>
      </c>
      <c r="E83" s="7" t="s">
        <v>102</v>
      </c>
      <c r="F83" s="7" t="s">
        <v>172</v>
      </c>
      <c r="G83" s="7"/>
      <c r="H83" s="7" t="s">
        <v>173</v>
      </c>
    </row>
    <row r="84" customFormat="false" ht="15" hidden="false" customHeight="false" outlineLevel="0" collapsed="false">
      <c r="A84" s="3" t="s">
        <v>174</v>
      </c>
    </row>
  </sheetData>
  <mergeCells count="5">
    <mergeCell ref="A2:H2"/>
    <mergeCell ref="F80:G80"/>
    <mergeCell ref="F81:G81"/>
    <mergeCell ref="F82:G82"/>
    <mergeCell ref="F83:G83"/>
  </mergeCells>
  <conditionalFormatting sqref="E31:E35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{8B601FAE-EC80-4FB3-B36C-EB83DE882619}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601FAE-EC80-4FB3-B36C-EB83DE882619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E31:E35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false" outlineLevel="0" max="10" min="10" style="0" width="36"/>
    <col collapsed="false" customWidth="true" hidden="false" outlineLevel="0" max="11" min="11" style="0" width="60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38"/>
    <col collapsed="false" customWidth="true" hidden="false" outlineLevel="0" max="17" min="17" style="0" width="22"/>
    <col collapsed="false" customWidth="true" hidden="false" outlineLevel="0" max="18" min="18" style="0" width="56"/>
    <col collapsed="false" customWidth="true" hidden="false" outlineLevel="0" max="19" min="19" style="0" width="32"/>
    <col collapsed="false" customWidth="true" hidden="false" outlineLevel="0" max="21" min="20" style="0" width="26"/>
    <col collapsed="false" customWidth="true" hidden="false" outlineLevel="0" max="22" min="22" style="0" width="24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46"/>
    <col collapsed="false" customWidth="true" hidden="false" outlineLevel="0" max="26" min="26" style="0" width="42"/>
    <col collapsed="false" customWidth="true" hidden="false" outlineLevel="0" max="27" min="27" style="0" width="40"/>
    <col collapsed="false" customWidth="true" hidden="false" outlineLevel="0" max="28" min="28" style="0" width="22"/>
  </cols>
  <sheetData>
    <row r="1" customFormat="false" ht="19.7" hidden="false" customHeight="false" outlineLevel="0" collapsed="false">
      <c r="A1" s="1" t="s">
        <v>175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176</v>
      </c>
    </row>
    <row r="4" customFormat="false" ht="42" hidden="false" customHeight="true" outlineLevel="0" collapsed="false">
      <c r="A4" s="12" t="s">
        <v>177</v>
      </c>
      <c r="B4" s="12" t="s">
        <v>178</v>
      </c>
      <c r="C4" s="12" t="s">
        <v>179</v>
      </c>
      <c r="D4" s="12" t="s">
        <v>180</v>
      </c>
      <c r="E4" s="12" t="s">
        <v>181</v>
      </c>
      <c r="F4" s="12" t="s">
        <v>182</v>
      </c>
      <c r="G4" s="12" t="s">
        <v>183</v>
      </c>
      <c r="H4" s="12" t="s">
        <v>184</v>
      </c>
      <c r="I4" s="12" t="s">
        <v>185</v>
      </c>
      <c r="J4" s="12" t="s">
        <v>186</v>
      </c>
      <c r="K4" s="12" t="s">
        <v>187</v>
      </c>
      <c r="L4" s="12" t="s">
        <v>14</v>
      </c>
      <c r="M4" s="12" t="s">
        <v>188</v>
      </c>
      <c r="N4" s="12" t="s">
        <v>189</v>
      </c>
      <c r="O4" s="12" t="s">
        <v>108</v>
      </c>
      <c r="P4" s="12" t="s">
        <v>190</v>
      </c>
      <c r="Q4" s="12" t="s">
        <v>191</v>
      </c>
      <c r="R4" s="12" t="s">
        <v>192</v>
      </c>
      <c r="S4" s="12" t="s">
        <v>193</v>
      </c>
      <c r="T4" s="12" t="s">
        <v>194</v>
      </c>
      <c r="U4" s="12" t="s">
        <v>195</v>
      </c>
      <c r="V4" s="12" t="s">
        <v>196</v>
      </c>
      <c r="W4" s="12" t="s">
        <v>197</v>
      </c>
      <c r="X4" s="12" t="s">
        <v>198</v>
      </c>
      <c r="Y4" s="12" t="s">
        <v>199</v>
      </c>
      <c r="Z4" s="12" t="s">
        <v>200</v>
      </c>
      <c r="AA4" s="12" t="s">
        <v>201</v>
      </c>
      <c r="AB4" s="12" t="s">
        <v>202</v>
      </c>
    </row>
    <row r="5" customFormat="false" ht="46.25" hidden="false" customHeight="false" outlineLevel="0" collapsed="false">
      <c r="A5" s="13" t="s">
        <v>203</v>
      </c>
      <c r="B5" s="13" t="s">
        <v>204</v>
      </c>
      <c r="C5" s="13" t="s">
        <v>205</v>
      </c>
      <c r="D5" s="7" t="s">
        <v>206</v>
      </c>
      <c r="E5" s="13" t="s">
        <v>207</v>
      </c>
      <c r="F5" s="7" t="s">
        <v>208</v>
      </c>
      <c r="G5" s="13" t="s">
        <v>209</v>
      </c>
      <c r="H5" s="7" t="s">
        <v>210</v>
      </c>
      <c r="I5" s="7" t="s">
        <v>211</v>
      </c>
      <c r="J5" s="7" t="s">
        <v>212</v>
      </c>
      <c r="K5" s="7" t="s">
        <v>213</v>
      </c>
      <c r="L5" s="16" t="s">
        <v>29</v>
      </c>
      <c r="M5" s="7" t="s">
        <v>214</v>
      </c>
      <c r="N5" s="7" t="s">
        <v>215</v>
      </c>
      <c r="O5" s="16" t="s">
        <v>114</v>
      </c>
      <c r="P5" s="7" t="s">
        <v>124</v>
      </c>
      <c r="Q5" s="7" t="s">
        <v>124</v>
      </c>
      <c r="R5" s="7" t="s">
        <v>216</v>
      </c>
      <c r="S5" s="7" t="s">
        <v>217</v>
      </c>
      <c r="T5" s="13" t="s">
        <v>218</v>
      </c>
      <c r="U5" s="7" t="s">
        <v>219</v>
      </c>
      <c r="V5" s="7" t="s">
        <v>220</v>
      </c>
      <c r="W5" s="7"/>
      <c r="X5" s="13" t="s">
        <v>220</v>
      </c>
      <c r="Y5" s="7" t="s">
        <v>221</v>
      </c>
      <c r="Z5" s="7" t="s">
        <v>222</v>
      </c>
      <c r="AA5" s="7" t="s">
        <v>223</v>
      </c>
      <c r="AB5" s="13" t="s">
        <v>224</v>
      </c>
    </row>
    <row r="6" customFormat="false" ht="46.25" hidden="false" customHeight="false" outlineLevel="0" collapsed="false">
      <c r="A6" s="13" t="s">
        <v>225</v>
      </c>
      <c r="B6" s="13" t="s">
        <v>226</v>
      </c>
      <c r="C6" s="13" t="s">
        <v>227</v>
      </c>
      <c r="D6" s="7" t="s">
        <v>228</v>
      </c>
      <c r="E6" s="13" t="s">
        <v>229</v>
      </c>
      <c r="F6" s="7" t="s">
        <v>230</v>
      </c>
      <c r="G6" s="13" t="s">
        <v>231</v>
      </c>
      <c r="H6" s="7" t="s">
        <v>210</v>
      </c>
      <c r="I6" s="7" t="s">
        <v>232</v>
      </c>
      <c r="J6" s="7" t="s">
        <v>233</v>
      </c>
      <c r="K6" s="7" t="s">
        <v>234</v>
      </c>
      <c r="L6" s="16" t="s">
        <v>27</v>
      </c>
      <c r="M6" s="7" t="s">
        <v>235</v>
      </c>
      <c r="N6" s="7" t="s">
        <v>113</v>
      </c>
      <c r="O6" s="16" t="s">
        <v>113</v>
      </c>
      <c r="P6" s="7" t="s">
        <v>236</v>
      </c>
      <c r="Q6" s="7" t="s">
        <v>123</v>
      </c>
      <c r="R6" s="7" t="s">
        <v>237</v>
      </c>
      <c r="S6" s="7" t="s">
        <v>238</v>
      </c>
      <c r="T6" s="13" t="s">
        <v>238</v>
      </c>
      <c r="U6" s="7" t="s">
        <v>219</v>
      </c>
      <c r="V6" s="7" t="s">
        <v>239</v>
      </c>
      <c r="W6" s="17" t="n">
        <v>46326</v>
      </c>
      <c r="X6" s="13" t="s">
        <v>240</v>
      </c>
      <c r="Y6" s="7" t="s">
        <v>241</v>
      </c>
      <c r="Z6" s="7" t="s">
        <v>222</v>
      </c>
      <c r="AA6" s="7" t="s">
        <v>242</v>
      </c>
      <c r="AB6" s="13" t="s">
        <v>224</v>
      </c>
    </row>
    <row r="7" customFormat="false" ht="46.25" hidden="false" customHeight="false" outlineLevel="0" collapsed="false">
      <c r="A7" s="13" t="s">
        <v>243</v>
      </c>
      <c r="B7" s="13" t="s">
        <v>244</v>
      </c>
      <c r="C7" s="13" t="s">
        <v>227</v>
      </c>
      <c r="D7" s="7" t="s">
        <v>228</v>
      </c>
      <c r="E7" s="13" t="s">
        <v>229</v>
      </c>
      <c r="F7" s="7" t="s">
        <v>230</v>
      </c>
      <c r="G7" s="13" t="s">
        <v>231</v>
      </c>
      <c r="H7" s="7" t="s">
        <v>210</v>
      </c>
      <c r="I7" s="7" t="s">
        <v>232</v>
      </c>
      <c r="J7" s="7" t="s">
        <v>245</v>
      </c>
      <c r="K7" s="7" t="s">
        <v>246</v>
      </c>
      <c r="L7" s="16" t="s">
        <v>27</v>
      </c>
      <c r="M7" s="7" t="s">
        <v>235</v>
      </c>
      <c r="N7" s="7" t="s">
        <v>112</v>
      </c>
      <c r="O7" s="16" t="s">
        <v>112</v>
      </c>
      <c r="P7" s="7" t="s">
        <v>236</v>
      </c>
      <c r="Q7" s="7" t="s">
        <v>123</v>
      </c>
      <c r="R7" s="7" t="s">
        <v>247</v>
      </c>
      <c r="S7" s="7" t="s">
        <v>238</v>
      </c>
      <c r="T7" s="13" t="s">
        <v>238</v>
      </c>
      <c r="U7" s="7" t="s">
        <v>219</v>
      </c>
      <c r="V7" s="7" t="s">
        <v>239</v>
      </c>
      <c r="W7" s="17" t="n">
        <v>46326</v>
      </c>
      <c r="X7" s="13" t="s">
        <v>240</v>
      </c>
      <c r="Y7" s="7" t="s">
        <v>241</v>
      </c>
      <c r="Z7" s="7" t="s">
        <v>222</v>
      </c>
      <c r="AA7" s="7" t="s">
        <v>242</v>
      </c>
      <c r="AB7" s="13" t="s">
        <v>224</v>
      </c>
    </row>
    <row r="8" customFormat="false" ht="46.25" hidden="false" customHeight="false" outlineLevel="0" collapsed="false">
      <c r="A8" s="13" t="s">
        <v>248</v>
      </c>
      <c r="B8" s="13" t="s">
        <v>249</v>
      </c>
      <c r="C8" s="13" t="s">
        <v>227</v>
      </c>
      <c r="D8" s="7" t="s">
        <v>228</v>
      </c>
      <c r="E8" s="13" t="s">
        <v>229</v>
      </c>
      <c r="F8" s="7" t="s">
        <v>230</v>
      </c>
      <c r="G8" s="13" t="s">
        <v>231</v>
      </c>
      <c r="H8" s="7" t="s">
        <v>210</v>
      </c>
      <c r="I8" s="7" t="s">
        <v>232</v>
      </c>
      <c r="J8" s="7" t="s">
        <v>250</v>
      </c>
      <c r="K8" s="7" t="s">
        <v>251</v>
      </c>
      <c r="L8" s="16" t="s">
        <v>27</v>
      </c>
      <c r="M8" s="7" t="s">
        <v>235</v>
      </c>
      <c r="N8" s="7" t="s">
        <v>252</v>
      </c>
      <c r="O8" s="16" t="s">
        <v>111</v>
      </c>
      <c r="P8" s="7" t="s">
        <v>253</v>
      </c>
      <c r="Q8" s="7" t="s">
        <v>123</v>
      </c>
      <c r="R8" s="7" t="s">
        <v>254</v>
      </c>
      <c r="S8" s="7" t="s">
        <v>255</v>
      </c>
      <c r="T8" s="13" t="s">
        <v>256</v>
      </c>
      <c r="U8" s="7" t="s">
        <v>219</v>
      </c>
      <c r="V8" s="7" t="s">
        <v>257</v>
      </c>
      <c r="W8" s="17" t="n">
        <v>46341</v>
      </c>
      <c r="X8" s="13" t="s">
        <v>240</v>
      </c>
      <c r="Y8" s="7" t="s">
        <v>241</v>
      </c>
      <c r="Z8" s="7" t="s">
        <v>222</v>
      </c>
      <c r="AA8" s="7" t="s">
        <v>242</v>
      </c>
      <c r="AB8" s="13" t="s">
        <v>224</v>
      </c>
    </row>
    <row r="9" customFormat="false" ht="91" hidden="false" customHeight="false" outlineLevel="0" collapsed="false">
      <c r="A9" s="13" t="s">
        <v>258</v>
      </c>
      <c r="B9" s="13" t="s">
        <v>204</v>
      </c>
      <c r="C9" s="13" t="s">
        <v>259</v>
      </c>
      <c r="D9" s="7" t="s">
        <v>260</v>
      </c>
      <c r="E9" s="13" t="s">
        <v>261</v>
      </c>
      <c r="F9" s="7" t="s">
        <v>262</v>
      </c>
      <c r="G9" s="13" t="s">
        <v>209</v>
      </c>
      <c r="H9" s="7" t="s">
        <v>263</v>
      </c>
      <c r="I9" s="7" t="s">
        <v>264</v>
      </c>
      <c r="J9" s="7" t="s">
        <v>265</v>
      </c>
      <c r="K9" s="7" t="s">
        <v>266</v>
      </c>
      <c r="L9" s="16" t="s">
        <v>29</v>
      </c>
      <c r="M9" s="7" t="s">
        <v>267</v>
      </c>
      <c r="N9" s="7" t="s">
        <v>215</v>
      </c>
      <c r="O9" s="16" t="s">
        <v>114</v>
      </c>
      <c r="P9" s="7" t="s">
        <v>125</v>
      </c>
      <c r="Q9" s="7" t="s">
        <v>125</v>
      </c>
      <c r="R9" s="7" t="s">
        <v>268</v>
      </c>
      <c r="S9" s="7" t="s">
        <v>269</v>
      </c>
      <c r="T9" s="13" t="s">
        <v>270</v>
      </c>
      <c r="U9" s="7" t="s">
        <v>219</v>
      </c>
      <c r="V9" s="7" t="s">
        <v>239</v>
      </c>
      <c r="W9" s="17" t="n">
        <v>46326</v>
      </c>
      <c r="X9" s="13" t="s">
        <v>240</v>
      </c>
      <c r="Y9" s="7" t="s">
        <v>271</v>
      </c>
      <c r="Z9" s="7" t="s">
        <v>222</v>
      </c>
      <c r="AA9" s="7" t="s">
        <v>272</v>
      </c>
      <c r="AB9" s="13" t="s">
        <v>224</v>
      </c>
    </row>
    <row r="10" customFormat="false" ht="46.25" hidden="false" customHeight="false" outlineLevel="0" collapsed="false">
      <c r="A10" s="13" t="s">
        <v>273</v>
      </c>
      <c r="B10" s="13" t="s">
        <v>204</v>
      </c>
      <c r="C10" s="13" t="s">
        <v>274</v>
      </c>
      <c r="D10" s="7" t="s">
        <v>275</v>
      </c>
      <c r="E10" s="13" t="s">
        <v>261</v>
      </c>
      <c r="F10" s="7" t="s">
        <v>276</v>
      </c>
      <c r="G10" s="13" t="s">
        <v>209</v>
      </c>
      <c r="H10" s="7" t="s">
        <v>277</v>
      </c>
      <c r="I10" s="7" t="s">
        <v>278</v>
      </c>
      <c r="J10" s="7" t="s">
        <v>279</v>
      </c>
      <c r="K10" s="7" t="s">
        <v>280</v>
      </c>
      <c r="L10" s="16" t="s">
        <v>29</v>
      </c>
      <c r="M10" s="7" t="s">
        <v>267</v>
      </c>
      <c r="N10" s="7" t="s">
        <v>215</v>
      </c>
      <c r="O10" s="16" t="s">
        <v>114</v>
      </c>
      <c r="P10" s="7" t="s">
        <v>123</v>
      </c>
      <c r="Q10" s="7" t="s">
        <v>123</v>
      </c>
      <c r="R10" s="7" t="s">
        <v>281</v>
      </c>
      <c r="S10" s="7" t="s">
        <v>270</v>
      </c>
      <c r="T10" s="13" t="s">
        <v>270</v>
      </c>
      <c r="U10" s="7" t="s">
        <v>219</v>
      </c>
      <c r="V10" s="7" t="s">
        <v>282</v>
      </c>
      <c r="W10" s="7"/>
      <c r="X10" s="13" t="s">
        <v>283</v>
      </c>
      <c r="Y10" s="7" t="s">
        <v>284</v>
      </c>
      <c r="Z10" s="7" t="s">
        <v>285</v>
      </c>
      <c r="AA10" s="7" t="s">
        <v>286</v>
      </c>
      <c r="AB10" s="13" t="s">
        <v>224</v>
      </c>
    </row>
    <row r="11" customFormat="false" ht="46.25" hidden="false" customHeight="false" outlineLevel="0" collapsed="false">
      <c r="A11" s="13" t="s">
        <v>287</v>
      </c>
      <c r="B11" s="13" t="s">
        <v>288</v>
      </c>
      <c r="C11" s="13" t="s">
        <v>289</v>
      </c>
      <c r="D11" s="7" t="s">
        <v>290</v>
      </c>
      <c r="E11" s="13" t="s">
        <v>291</v>
      </c>
      <c r="F11" s="7" t="s">
        <v>292</v>
      </c>
      <c r="G11" s="13" t="s">
        <v>231</v>
      </c>
      <c r="H11" s="7" t="s">
        <v>293</v>
      </c>
      <c r="I11" s="7" t="s">
        <v>294</v>
      </c>
      <c r="J11" s="7" t="s">
        <v>295</v>
      </c>
      <c r="K11" s="7" t="s">
        <v>296</v>
      </c>
      <c r="L11" s="16" t="s">
        <v>27</v>
      </c>
      <c r="M11" s="7" t="s">
        <v>297</v>
      </c>
      <c r="N11" s="7" t="s">
        <v>113</v>
      </c>
      <c r="O11" s="16" t="s">
        <v>113</v>
      </c>
      <c r="P11" s="7" t="s">
        <v>298</v>
      </c>
      <c r="Q11" s="7" t="s">
        <v>126</v>
      </c>
      <c r="R11" s="7" t="s">
        <v>299</v>
      </c>
      <c r="S11" s="7" t="s">
        <v>238</v>
      </c>
      <c r="T11" s="13" t="s">
        <v>238</v>
      </c>
      <c r="U11" s="7" t="s">
        <v>219</v>
      </c>
      <c r="V11" s="7" t="s">
        <v>300</v>
      </c>
      <c r="W11" s="17" t="n">
        <v>46356</v>
      </c>
      <c r="X11" s="13" t="s">
        <v>240</v>
      </c>
      <c r="Y11" s="7" t="s">
        <v>301</v>
      </c>
      <c r="Z11" s="7" t="s">
        <v>302</v>
      </c>
      <c r="AA11" s="7" t="s">
        <v>303</v>
      </c>
      <c r="AB11" s="13" t="s">
        <v>224</v>
      </c>
    </row>
    <row r="12" customFormat="false" ht="46.25" hidden="false" customHeight="false" outlineLevel="0" collapsed="false">
      <c r="A12" s="13" t="s">
        <v>304</v>
      </c>
      <c r="B12" s="13" t="s">
        <v>305</v>
      </c>
      <c r="C12" s="13" t="s">
        <v>289</v>
      </c>
      <c r="D12" s="7" t="s">
        <v>290</v>
      </c>
      <c r="E12" s="13" t="s">
        <v>291</v>
      </c>
      <c r="F12" s="7" t="s">
        <v>292</v>
      </c>
      <c r="G12" s="13" t="s">
        <v>231</v>
      </c>
      <c r="H12" s="7" t="s">
        <v>293</v>
      </c>
      <c r="I12" s="7" t="s">
        <v>294</v>
      </c>
      <c r="J12" s="7" t="s">
        <v>306</v>
      </c>
      <c r="K12" s="7" t="s">
        <v>307</v>
      </c>
      <c r="L12" s="16" t="s">
        <v>27</v>
      </c>
      <c r="M12" s="7" t="s">
        <v>297</v>
      </c>
      <c r="N12" s="7" t="s">
        <v>113</v>
      </c>
      <c r="O12" s="16" t="s">
        <v>113</v>
      </c>
      <c r="P12" s="7" t="s">
        <v>308</v>
      </c>
      <c r="Q12" s="7" t="s">
        <v>126</v>
      </c>
      <c r="R12" s="7" t="s">
        <v>309</v>
      </c>
      <c r="S12" s="7" t="s">
        <v>238</v>
      </c>
      <c r="T12" s="13" t="s">
        <v>238</v>
      </c>
      <c r="U12" s="7" t="s">
        <v>219</v>
      </c>
      <c r="V12" s="7" t="s">
        <v>300</v>
      </c>
      <c r="W12" s="17" t="n">
        <v>46356</v>
      </c>
      <c r="X12" s="13" t="s">
        <v>240</v>
      </c>
      <c r="Y12" s="7" t="s">
        <v>301</v>
      </c>
      <c r="Z12" s="7" t="s">
        <v>310</v>
      </c>
      <c r="AA12" s="7" t="s">
        <v>303</v>
      </c>
      <c r="AB12" s="13" t="s">
        <v>224</v>
      </c>
    </row>
    <row r="13" customFormat="false" ht="46.25" hidden="false" customHeight="false" outlineLevel="0" collapsed="false">
      <c r="A13" s="13" t="s">
        <v>311</v>
      </c>
      <c r="B13" s="13" t="s">
        <v>312</v>
      </c>
      <c r="C13" s="13" t="s">
        <v>289</v>
      </c>
      <c r="D13" s="7" t="s">
        <v>290</v>
      </c>
      <c r="E13" s="13" t="s">
        <v>291</v>
      </c>
      <c r="F13" s="7" t="s">
        <v>292</v>
      </c>
      <c r="G13" s="13" t="s">
        <v>231</v>
      </c>
      <c r="H13" s="7" t="s">
        <v>293</v>
      </c>
      <c r="I13" s="7" t="s">
        <v>294</v>
      </c>
      <c r="J13" s="7" t="s">
        <v>313</v>
      </c>
      <c r="K13" s="7" t="s">
        <v>314</v>
      </c>
      <c r="L13" s="16" t="s">
        <v>29</v>
      </c>
      <c r="M13" s="7" t="s">
        <v>267</v>
      </c>
      <c r="N13" s="7" t="s">
        <v>315</v>
      </c>
      <c r="O13" s="16" t="s">
        <v>114</v>
      </c>
      <c r="P13" s="7" t="s">
        <v>126</v>
      </c>
      <c r="Q13" s="7" t="s">
        <v>126</v>
      </c>
      <c r="R13" s="7" t="s">
        <v>316</v>
      </c>
      <c r="S13" s="7" t="s">
        <v>270</v>
      </c>
      <c r="T13" s="13" t="s">
        <v>270</v>
      </c>
      <c r="U13" s="7" t="s">
        <v>219</v>
      </c>
      <c r="V13" s="7" t="s">
        <v>317</v>
      </c>
      <c r="W13" s="7"/>
      <c r="X13" s="13" t="s">
        <v>283</v>
      </c>
      <c r="Y13" s="7" t="s">
        <v>301</v>
      </c>
      <c r="Z13" s="7" t="s">
        <v>318</v>
      </c>
      <c r="AA13" s="7" t="s">
        <v>319</v>
      </c>
      <c r="AB13" s="13" t="s">
        <v>224</v>
      </c>
    </row>
    <row r="14" customFormat="false" ht="46.25" hidden="false" customHeight="false" outlineLevel="0" collapsed="false">
      <c r="A14" s="13" t="s">
        <v>320</v>
      </c>
      <c r="B14" s="13" t="s">
        <v>321</v>
      </c>
      <c r="C14" s="13" t="s">
        <v>289</v>
      </c>
      <c r="D14" s="7" t="s">
        <v>290</v>
      </c>
      <c r="E14" s="13" t="s">
        <v>322</v>
      </c>
      <c r="F14" s="7" t="s">
        <v>292</v>
      </c>
      <c r="G14" s="13" t="s">
        <v>231</v>
      </c>
      <c r="H14" s="7" t="s">
        <v>323</v>
      </c>
      <c r="I14" s="7" t="s">
        <v>324</v>
      </c>
      <c r="J14" s="7" t="s">
        <v>325</v>
      </c>
      <c r="K14" s="7" t="s">
        <v>326</v>
      </c>
      <c r="L14" s="16" t="s">
        <v>29</v>
      </c>
      <c r="M14" s="7" t="s">
        <v>327</v>
      </c>
      <c r="N14" s="7" t="s">
        <v>328</v>
      </c>
      <c r="O14" s="16" t="s">
        <v>115</v>
      </c>
      <c r="P14" s="7" t="s">
        <v>329</v>
      </c>
      <c r="Q14" s="7" t="s">
        <v>126</v>
      </c>
      <c r="R14" s="7" t="s">
        <v>330</v>
      </c>
      <c r="S14" s="7" t="s">
        <v>220</v>
      </c>
      <c r="T14" s="13" t="s">
        <v>331</v>
      </c>
      <c r="U14" s="7" t="s">
        <v>219</v>
      </c>
      <c r="V14" s="7" t="s">
        <v>220</v>
      </c>
      <c r="W14" s="7"/>
      <c r="X14" s="13" t="s">
        <v>220</v>
      </c>
      <c r="Y14" s="7" t="s">
        <v>301</v>
      </c>
      <c r="Z14" s="7" t="s">
        <v>222</v>
      </c>
      <c r="AA14" s="7" t="s">
        <v>332</v>
      </c>
      <c r="AB14" s="13" t="s">
        <v>224</v>
      </c>
    </row>
    <row r="15" customFormat="false" ht="68.65" hidden="false" customHeight="false" outlineLevel="0" collapsed="false">
      <c r="A15" s="13" t="s">
        <v>333</v>
      </c>
      <c r="B15" s="13" t="s">
        <v>334</v>
      </c>
      <c r="C15" s="13" t="s">
        <v>335</v>
      </c>
      <c r="D15" s="7" t="s">
        <v>336</v>
      </c>
      <c r="E15" s="13" t="s">
        <v>337</v>
      </c>
      <c r="F15" s="7" t="s">
        <v>338</v>
      </c>
      <c r="G15" s="13" t="s">
        <v>231</v>
      </c>
      <c r="H15" s="7" t="s">
        <v>339</v>
      </c>
      <c r="I15" s="7" t="s">
        <v>340</v>
      </c>
      <c r="J15" s="7" t="s">
        <v>341</v>
      </c>
      <c r="K15" s="7" t="s">
        <v>342</v>
      </c>
      <c r="L15" s="16" t="s">
        <v>27</v>
      </c>
      <c r="M15" s="7" t="s">
        <v>297</v>
      </c>
      <c r="N15" s="7" t="s">
        <v>113</v>
      </c>
      <c r="O15" s="16" t="s">
        <v>113</v>
      </c>
      <c r="P15" s="7" t="s">
        <v>343</v>
      </c>
      <c r="Q15" s="7" t="s">
        <v>127</v>
      </c>
      <c r="R15" s="7" t="s">
        <v>344</v>
      </c>
      <c r="S15" s="7" t="s">
        <v>238</v>
      </c>
      <c r="T15" s="13" t="s">
        <v>238</v>
      </c>
      <c r="U15" s="7" t="s">
        <v>219</v>
      </c>
      <c r="V15" s="7" t="s">
        <v>345</v>
      </c>
      <c r="W15" s="17" t="n">
        <v>46387</v>
      </c>
      <c r="X15" s="13" t="s">
        <v>240</v>
      </c>
      <c r="Y15" s="7" t="s">
        <v>346</v>
      </c>
      <c r="Z15" s="7" t="s">
        <v>347</v>
      </c>
      <c r="AA15" s="7" t="s">
        <v>348</v>
      </c>
      <c r="AB15" s="13" t="s">
        <v>224</v>
      </c>
    </row>
    <row r="16" customFormat="false" ht="46.25" hidden="false" customHeight="false" outlineLevel="0" collapsed="false">
      <c r="A16" s="13" t="s">
        <v>349</v>
      </c>
      <c r="B16" s="13" t="s">
        <v>350</v>
      </c>
      <c r="C16" s="13" t="s">
        <v>335</v>
      </c>
      <c r="D16" s="7" t="s">
        <v>336</v>
      </c>
      <c r="E16" s="13" t="s">
        <v>337</v>
      </c>
      <c r="F16" s="7" t="s">
        <v>338</v>
      </c>
      <c r="G16" s="13" t="s">
        <v>231</v>
      </c>
      <c r="H16" s="7" t="s">
        <v>339</v>
      </c>
      <c r="I16" s="7" t="s">
        <v>340</v>
      </c>
      <c r="J16" s="7" t="s">
        <v>351</v>
      </c>
      <c r="K16" s="7" t="s">
        <v>352</v>
      </c>
      <c r="L16" s="16" t="s">
        <v>27</v>
      </c>
      <c r="M16" s="7" t="s">
        <v>297</v>
      </c>
      <c r="N16" s="7" t="s">
        <v>113</v>
      </c>
      <c r="O16" s="16" t="s">
        <v>113</v>
      </c>
      <c r="P16" s="7" t="s">
        <v>353</v>
      </c>
      <c r="Q16" s="7" t="s">
        <v>127</v>
      </c>
      <c r="R16" s="7" t="s">
        <v>354</v>
      </c>
      <c r="S16" s="7" t="s">
        <v>238</v>
      </c>
      <c r="T16" s="13" t="s">
        <v>238</v>
      </c>
      <c r="U16" s="7" t="s">
        <v>219</v>
      </c>
      <c r="V16" s="7" t="s">
        <v>345</v>
      </c>
      <c r="W16" s="17" t="n">
        <v>46387</v>
      </c>
      <c r="X16" s="13" t="s">
        <v>240</v>
      </c>
      <c r="Y16" s="7" t="s">
        <v>346</v>
      </c>
      <c r="Z16" s="7" t="s">
        <v>355</v>
      </c>
      <c r="AA16" s="7" t="s">
        <v>348</v>
      </c>
      <c r="AB16" s="13" t="s">
        <v>224</v>
      </c>
    </row>
    <row r="17" customFormat="false" ht="46.25" hidden="false" customHeight="false" outlineLevel="0" collapsed="false">
      <c r="A17" s="13" t="s">
        <v>356</v>
      </c>
      <c r="B17" s="13" t="s">
        <v>357</v>
      </c>
      <c r="C17" s="13" t="s">
        <v>335</v>
      </c>
      <c r="D17" s="7" t="s">
        <v>336</v>
      </c>
      <c r="E17" s="13" t="s">
        <v>337</v>
      </c>
      <c r="F17" s="7" t="s">
        <v>338</v>
      </c>
      <c r="G17" s="13" t="s">
        <v>231</v>
      </c>
      <c r="H17" s="7" t="s">
        <v>339</v>
      </c>
      <c r="I17" s="7" t="s">
        <v>340</v>
      </c>
      <c r="J17" s="7" t="s">
        <v>358</v>
      </c>
      <c r="K17" s="7" t="s">
        <v>359</v>
      </c>
      <c r="L17" s="16" t="s">
        <v>29</v>
      </c>
      <c r="M17" s="7" t="s">
        <v>267</v>
      </c>
      <c r="N17" s="7" t="s">
        <v>315</v>
      </c>
      <c r="O17" s="16" t="s">
        <v>114</v>
      </c>
      <c r="P17" s="7" t="s">
        <v>127</v>
      </c>
      <c r="Q17" s="7" t="s">
        <v>127</v>
      </c>
      <c r="R17" s="7" t="s">
        <v>360</v>
      </c>
      <c r="S17" s="7" t="s">
        <v>270</v>
      </c>
      <c r="T17" s="13" t="s">
        <v>270</v>
      </c>
      <c r="U17" s="7" t="s">
        <v>219</v>
      </c>
      <c r="V17" s="7" t="s">
        <v>361</v>
      </c>
      <c r="W17" s="7"/>
      <c r="X17" s="13" t="s">
        <v>283</v>
      </c>
      <c r="Y17" s="7" t="s">
        <v>346</v>
      </c>
      <c r="Z17" s="7" t="s">
        <v>362</v>
      </c>
      <c r="AA17" s="7" t="s">
        <v>363</v>
      </c>
      <c r="AB17" s="13" t="s">
        <v>224</v>
      </c>
    </row>
    <row r="18" customFormat="false" ht="57.45" hidden="false" customHeight="false" outlineLevel="0" collapsed="false">
      <c r="A18" s="13" t="s">
        <v>364</v>
      </c>
      <c r="B18" s="13" t="s">
        <v>321</v>
      </c>
      <c r="C18" s="13" t="s">
        <v>335</v>
      </c>
      <c r="D18" s="7" t="s">
        <v>336</v>
      </c>
      <c r="E18" s="13" t="s">
        <v>322</v>
      </c>
      <c r="F18" s="7" t="s">
        <v>338</v>
      </c>
      <c r="G18" s="13" t="s">
        <v>231</v>
      </c>
      <c r="H18" s="7" t="s">
        <v>365</v>
      </c>
      <c r="I18" s="7" t="s">
        <v>366</v>
      </c>
      <c r="J18" s="7" t="s">
        <v>367</v>
      </c>
      <c r="K18" s="7" t="s">
        <v>368</v>
      </c>
      <c r="L18" s="16" t="s">
        <v>29</v>
      </c>
      <c r="M18" s="7" t="s">
        <v>327</v>
      </c>
      <c r="N18" s="7" t="s">
        <v>328</v>
      </c>
      <c r="O18" s="16" t="s">
        <v>115</v>
      </c>
      <c r="P18" s="7" t="s">
        <v>369</v>
      </c>
      <c r="Q18" s="7" t="s">
        <v>127</v>
      </c>
      <c r="R18" s="7" t="s">
        <v>370</v>
      </c>
      <c r="S18" s="7" t="s">
        <v>220</v>
      </c>
      <c r="T18" s="13" t="s">
        <v>331</v>
      </c>
      <c r="U18" s="7" t="s">
        <v>219</v>
      </c>
      <c r="V18" s="7" t="s">
        <v>220</v>
      </c>
      <c r="W18" s="7"/>
      <c r="X18" s="13" t="s">
        <v>220</v>
      </c>
      <c r="Y18" s="7" t="s">
        <v>346</v>
      </c>
      <c r="Z18" s="7" t="s">
        <v>222</v>
      </c>
      <c r="AA18" s="7" t="s">
        <v>332</v>
      </c>
      <c r="AB18" s="13" t="s">
        <v>224</v>
      </c>
    </row>
    <row r="19" customFormat="false" ht="46.25" hidden="false" customHeight="false" outlineLevel="0" collapsed="false">
      <c r="A19" s="13" t="s">
        <v>371</v>
      </c>
      <c r="B19" s="13" t="s">
        <v>204</v>
      </c>
      <c r="C19" s="13" t="s">
        <v>372</v>
      </c>
      <c r="D19" s="7" t="s">
        <v>373</v>
      </c>
      <c r="E19" s="13" t="s">
        <v>374</v>
      </c>
      <c r="F19" s="7" t="s">
        <v>375</v>
      </c>
      <c r="G19" s="13" t="s">
        <v>209</v>
      </c>
      <c r="H19" s="7" t="s">
        <v>376</v>
      </c>
      <c r="I19" s="7" t="s">
        <v>377</v>
      </c>
      <c r="J19" s="7" t="s">
        <v>378</v>
      </c>
      <c r="K19" s="7" t="s">
        <v>379</v>
      </c>
      <c r="L19" s="16" t="s">
        <v>29</v>
      </c>
      <c r="M19" s="7" t="s">
        <v>267</v>
      </c>
      <c r="N19" s="7" t="s">
        <v>114</v>
      </c>
      <c r="O19" s="16" t="s">
        <v>114</v>
      </c>
      <c r="P19" s="7" t="s">
        <v>128</v>
      </c>
      <c r="Q19" s="7" t="s">
        <v>128</v>
      </c>
      <c r="R19" s="7" t="s">
        <v>380</v>
      </c>
      <c r="S19" s="7" t="s">
        <v>270</v>
      </c>
      <c r="T19" s="13" t="s">
        <v>270</v>
      </c>
      <c r="U19" s="7" t="s">
        <v>219</v>
      </c>
      <c r="V19" s="7" t="s">
        <v>361</v>
      </c>
      <c r="W19" s="7"/>
      <c r="X19" s="13" t="s">
        <v>283</v>
      </c>
      <c r="Y19" s="7" t="s">
        <v>381</v>
      </c>
      <c r="Z19" s="7" t="s">
        <v>382</v>
      </c>
      <c r="AA19" s="7" t="s">
        <v>383</v>
      </c>
      <c r="AB19" s="13" t="s">
        <v>224</v>
      </c>
    </row>
    <row r="20" customFormat="false" ht="46.25" hidden="false" customHeight="false" outlineLevel="0" collapsed="false">
      <c r="A20" s="13" t="s">
        <v>384</v>
      </c>
      <c r="B20" s="13" t="s">
        <v>385</v>
      </c>
      <c r="C20" s="13" t="s">
        <v>386</v>
      </c>
      <c r="D20" s="7" t="s">
        <v>387</v>
      </c>
      <c r="E20" s="13" t="s">
        <v>291</v>
      </c>
      <c r="F20" s="7" t="s">
        <v>388</v>
      </c>
      <c r="G20" s="13" t="s">
        <v>231</v>
      </c>
      <c r="H20" s="7" t="s">
        <v>389</v>
      </c>
      <c r="I20" s="7" t="s">
        <v>390</v>
      </c>
      <c r="J20" s="7" t="s">
        <v>391</v>
      </c>
      <c r="K20" s="7" t="s">
        <v>392</v>
      </c>
      <c r="L20" s="16" t="s">
        <v>27</v>
      </c>
      <c r="M20" s="7" t="s">
        <v>297</v>
      </c>
      <c r="N20" s="7" t="s">
        <v>113</v>
      </c>
      <c r="O20" s="16" t="s">
        <v>113</v>
      </c>
      <c r="P20" s="7" t="s">
        <v>393</v>
      </c>
      <c r="Q20" s="7" t="s">
        <v>129</v>
      </c>
      <c r="R20" s="7" t="s">
        <v>394</v>
      </c>
      <c r="S20" s="7" t="s">
        <v>238</v>
      </c>
      <c r="T20" s="13" t="s">
        <v>238</v>
      </c>
      <c r="U20" s="7" t="s">
        <v>219</v>
      </c>
      <c r="V20" s="7" t="s">
        <v>345</v>
      </c>
      <c r="W20" s="17" t="n">
        <v>46387</v>
      </c>
      <c r="X20" s="13" t="s">
        <v>240</v>
      </c>
      <c r="Y20" s="7" t="s">
        <v>395</v>
      </c>
      <c r="Z20" s="7" t="s">
        <v>396</v>
      </c>
      <c r="AA20" s="7" t="s">
        <v>397</v>
      </c>
      <c r="AB20" s="13" t="s">
        <v>224</v>
      </c>
    </row>
    <row r="21" customFormat="false" ht="46.25" hidden="false" customHeight="false" outlineLevel="0" collapsed="false">
      <c r="A21" s="13" t="s">
        <v>398</v>
      </c>
      <c r="B21" s="13" t="s">
        <v>399</v>
      </c>
      <c r="C21" s="13" t="s">
        <v>386</v>
      </c>
      <c r="D21" s="7" t="s">
        <v>387</v>
      </c>
      <c r="E21" s="13" t="s">
        <v>291</v>
      </c>
      <c r="F21" s="7" t="s">
        <v>388</v>
      </c>
      <c r="G21" s="13" t="s">
        <v>231</v>
      </c>
      <c r="H21" s="7" t="s">
        <v>389</v>
      </c>
      <c r="I21" s="7" t="s">
        <v>390</v>
      </c>
      <c r="J21" s="7" t="s">
        <v>400</v>
      </c>
      <c r="K21" s="7" t="s">
        <v>401</v>
      </c>
      <c r="L21" s="16" t="s">
        <v>27</v>
      </c>
      <c r="M21" s="7" t="s">
        <v>297</v>
      </c>
      <c r="N21" s="7" t="s">
        <v>113</v>
      </c>
      <c r="O21" s="16" t="s">
        <v>113</v>
      </c>
      <c r="P21" s="7" t="s">
        <v>129</v>
      </c>
      <c r="Q21" s="7" t="s">
        <v>129</v>
      </c>
      <c r="R21" s="7" t="s">
        <v>402</v>
      </c>
      <c r="S21" s="7" t="s">
        <v>238</v>
      </c>
      <c r="T21" s="13" t="s">
        <v>238</v>
      </c>
      <c r="U21" s="7" t="s">
        <v>219</v>
      </c>
      <c r="V21" s="7" t="s">
        <v>345</v>
      </c>
      <c r="W21" s="17" t="n">
        <v>46387</v>
      </c>
      <c r="X21" s="13" t="s">
        <v>240</v>
      </c>
      <c r="Y21" s="7" t="s">
        <v>395</v>
      </c>
      <c r="Z21" s="7" t="s">
        <v>403</v>
      </c>
      <c r="AA21" s="7" t="s">
        <v>397</v>
      </c>
      <c r="AB21" s="13" t="s">
        <v>224</v>
      </c>
    </row>
    <row r="22" customFormat="false" ht="57.45" hidden="false" customHeight="false" outlineLevel="0" collapsed="false">
      <c r="A22" s="13" t="s">
        <v>404</v>
      </c>
      <c r="B22" s="13" t="s">
        <v>405</v>
      </c>
      <c r="C22" s="13" t="s">
        <v>386</v>
      </c>
      <c r="D22" s="7" t="s">
        <v>387</v>
      </c>
      <c r="E22" s="13" t="s">
        <v>291</v>
      </c>
      <c r="F22" s="7" t="s">
        <v>388</v>
      </c>
      <c r="G22" s="13" t="s">
        <v>231</v>
      </c>
      <c r="H22" s="7" t="s">
        <v>389</v>
      </c>
      <c r="I22" s="7" t="s">
        <v>390</v>
      </c>
      <c r="J22" s="7" t="s">
        <v>406</v>
      </c>
      <c r="K22" s="7" t="s">
        <v>407</v>
      </c>
      <c r="L22" s="16" t="s">
        <v>29</v>
      </c>
      <c r="M22" s="7" t="s">
        <v>267</v>
      </c>
      <c r="N22" s="7" t="s">
        <v>315</v>
      </c>
      <c r="O22" s="16" t="s">
        <v>114</v>
      </c>
      <c r="P22" s="7" t="s">
        <v>129</v>
      </c>
      <c r="Q22" s="7" t="s">
        <v>129</v>
      </c>
      <c r="R22" s="7" t="s">
        <v>408</v>
      </c>
      <c r="S22" s="7" t="s">
        <v>270</v>
      </c>
      <c r="T22" s="13" t="s">
        <v>270</v>
      </c>
      <c r="U22" s="7" t="s">
        <v>219</v>
      </c>
      <c r="V22" s="7" t="s">
        <v>361</v>
      </c>
      <c r="W22" s="7"/>
      <c r="X22" s="13" t="s">
        <v>283</v>
      </c>
      <c r="Y22" s="7" t="s">
        <v>395</v>
      </c>
      <c r="Z22" s="7" t="s">
        <v>409</v>
      </c>
      <c r="AA22" s="7" t="s">
        <v>410</v>
      </c>
      <c r="AB22" s="13" t="s">
        <v>224</v>
      </c>
    </row>
    <row r="23" customFormat="false" ht="46.25" hidden="false" customHeight="false" outlineLevel="0" collapsed="false">
      <c r="A23" s="13" t="s">
        <v>411</v>
      </c>
      <c r="B23" s="13" t="s">
        <v>321</v>
      </c>
      <c r="C23" s="13" t="s">
        <v>386</v>
      </c>
      <c r="D23" s="7" t="s">
        <v>387</v>
      </c>
      <c r="E23" s="13" t="s">
        <v>322</v>
      </c>
      <c r="F23" s="7" t="s">
        <v>388</v>
      </c>
      <c r="G23" s="13" t="s">
        <v>231</v>
      </c>
      <c r="H23" s="7" t="s">
        <v>412</v>
      </c>
      <c r="I23" s="7" t="s">
        <v>413</v>
      </c>
      <c r="J23" s="7" t="s">
        <v>414</v>
      </c>
      <c r="K23" s="7" t="s">
        <v>415</v>
      </c>
      <c r="L23" s="16" t="s">
        <v>29</v>
      </c>
      <c r="M23" s="7" t="s">
        <v>327</v>
      </c>
      <c r="N23" s="7" t="s">
        <v>328</v>
      </c>
      <c r="O23" s="16" t="s">
        <v>115</v>
      </c>
      <c r="P23" s="7" t="s">
        <v>416</v>
      </c>
      <c r="Q23" s="7" t="s">
        <v>129</v>
      </c>
      <c r="R23" s="7" t="s">
        <v>417</v>
      </c>
      <c r="S23" s="7" t="s">
        <v>220</v>
      </c>
      <c r="T23" s="13" t="s">
        <v>331</v>
      </c>
      <c r="U23" s="7" t="s">
        <v>219</v>
      </c>
      <c r="V23" s="7" t="s">
        <v>220</v>
      </c>
      <c r="W23" s="7"/>
      <c r="X23" s="13" t="s">
        <v>220</v>
      </c>
      <c r="Y23" s="7" t="s">
        <v>395</v>
      </c>
      <c r="Z23" s="7" t="s">
        <v>222</v>
      </c>
      <c r="AA23" s="7" t="s">
        <v>332</v>
      </c>
      <c r="AB23" s="13" t="s">
        <v>224</v>
      </c>
    </row>
    <row r="24" customFormat="false" ht="57.45" hidden="false" customHeight="false" outlineLevel="0" collapsed="false">
      <c r="A24" s="13" t="s">
        <v>418</v>
      </c>
      <c r="B24" s="13" t="s">
        <v>321</v>
      </c>
      <c r="C24" s="13" t="s">
        <v>386</v>
      </c>
      <c r="D24" s="7" t="s">
        <v>387</v>
      </c>
      <c r="E24" s="13" t="s">
        <v>419</v>
      </c>
      <c r="F24" s="7" t="s">
        <v>388</v>
      </c>
      <c r="G24" s="13" t="s">
        <v>231</v>
      </c>
      <c r="H24" s="7" t="s">
        <v>420</v>
      </c>
      <c r="I24" s="7" t="s">
        <v>421</v>
      </c>
      <c r="J24" s="7" t="s">
        <v>422</v>
      </c>
      <c r="K24" s="7" t="s">
        <v>423</v>
      </c>
      <c r="L24" s="16" t="s">
        <v>29</v>
      </c>
      <c r="M24" s="7" t="s">
        <v>424</v>
      </c>
      <c r="N24" s="7" t="s">
        <v>328</v>
      </c>
      <c r="O24" s="16" t="s">
        <v>115</v>
      </c>
      <c r="P24" s="7" t="s">
        <v>132</v>
      </c>
      <c r="Q24" s="7" t="s">
        <v>132</v>
      </c>
      <c r="R24" s="7" t="s">
        <v>425</v>
      </c>
      <c r="S24" s="7" t="s">
        <v>220</v>
      </c>
      <c r="T24" s="13" t="s">
        <v>331</v>
      </c>
      <c r="U24" s="7" t="s">
        <v>219</v>
      </c>
      <c r="V24" s="7" t="s">
        <v>220</v>
      </c>
      <c r="W24" s="7"/>
      <c r="X24" s="13" t="s">
        <v>220</v>
      </c>
      <c r="Y24" s="7" t="s">
        <v>395</v>
      </c>
      <c r="Z24" s="7" t="s">
        <v>222</v>
      </c>
      <c r="AA24" s="7" t="s">
        <v>332</v>
      </c>
      <c r="AB24" s="13" t="s">
        <v>224</v>
      </c>
    </row>
    <row r="25" customFormat="false" ht="57.45" hidden="false" customHeight="false" outlineLevel="0" collapsed="false">
      <c r="A25" s="13" t="s">
        <v>426</v>
      </c>
      <c r="B25" s="13" t="s">
        <v>427</v>
      </c>
      <c r="C25" s="13" t="s">
        <v>428</v>
      </c>
      <c r="D25" s="7" t="s">
        <v>429</v>
      </c>
      <c r="E25" s="13" t="s">
        <v>430</v>
      </c>
      <c r="F25" s="7" t="s">
        <v>431</v>
      </c>
      <c r="G25" s="13" t="s">
        <v>432</v>
      </c>
      <c r="H25" s="7" t="s">
        <v>433</v>
      </c>
      <c r="I25" s="7" t="s">
        <v>434</v>
      </c>
      <c r="J25" s="7" t="s">
        <v>435</v>
      </c>
      <c r="K25" s="7" t="s">
        <v>436</v>
      </c>
      <c r="L25" s="16" t="s">
        <v>31</v>
      </c>
      <c r="M25" s="7" t="s">
        <v>437</v>
      </c>
      <c r="N25" s="7" t="s">
        <v>328</v>
      </c>
      <c r="O25" s="16" t="s">
        <v>115</v>
      </c>
      <c r="P25" s="7" t="s">
        <v>132</v>
      </c>
      <c r="Q25" s="7" t="s">
        <v>132</v>
      </c>
      <c r="R25" s="7" t="s">
        <v>438</v>
      </c>
      <c r="S25" s="7" t="s">
        <v>220</v>
      </c>
      <c r="T25" s="13" t="s">
        <v>331</v>
      </c>
      <c r="U25" s="7" t="s">
        <v>219</v>
      </c>
      <c r="V25" s="7" t="s">
        <v>220</v>
      </c>
      <c r="W25" s="7"/>
      <c r="X25" s="13" t="s">
        <v>220</v>
      </c>
      <c r="Y25" s="7" t="s">
        <v>439</v>
      </c>
      <c r="Z25" s="7" t="s">
        <v>222</v>
      </c>
      <c r="AA25" s="7" t="s">
        <v>440</v>
      </c>
      <c r="AB25" s="13" t="s">
        <v>224</v>
      </c>
    </row>
    <row r="26" customFormat="false" ht="57.45" hidden="false" customHeight="false" outlineLevel="0" collapsed="false">
      <c r="A26" s="13" t="s">
        <v>441</v>
      </c>
      <c r="B26" s="13" t="s">
        <v>442</v>
      </c>
      <c r="C26" s="13" t="s">
        <v>428</v>
      </c>
      <c r="D26" s="7" t="s">
        <v>429</v>
      </c>
      <c r="E26" s="13" t="s">
        <v>430</v>
      </c>
      <c r="F26" s="7" t="s">
        <v>431</v>
      </c>
      <c r="G26" s="13" t="s">
        <v>432</v>
      </c>
      <c r="H26" s="7" t="s">
        <v>433</v>
      </c>
      <c r="I26" s="7" t="s">
        <v>434</v>
      </c>
      <c r="J26" s="7" t="s">
        <v>443</v>
      </c>
      <c r="K26" s="7" t="s">
        <v>444</v>
      </c>
      <c r="L26" s="16" t="s">
        <v>31</v>
      </c>
      <c r="M26" s="7" t="s">
        <v>437</v>
      </c>
      <c r="N26" s="7" t="s">
        <v>328</v>
      </c>
      <c r="O26" s="16" t="s">
        <v>115</v>
      </c>
      <c r="P26" s="7" t="s">
        <v>132</v>
      </c>
      <c r="Q26" s="7" t="s">
        <v>132</v>
      </c>
      <c r="R26" s="7" t="s">
        <v>445</v>
      </c>
      <c r="S26" s="7" t="s">
        <v>220</v>
      </c>
      <c r="T26" s="13" t="s">
        <v>331</v>
      </c>
      <c r="U26" s="7" t="s">
        <v>219</v>
      </c>
      <c r="V26" s="7" t="s">
        <v>220</v>
      </c>
      <c r="W26" s="7"/>
      <c r="X26" s="13" t="s">
        <v>220</v>
      </c>
      <c r="Y26" s="7" t="s">
        <v>439</v>
      </c>
      <c r="Z26" s="7" t="s">
        <v>222</v>
      </c>
      <c r="AA26" s="7" t="s">
        <v>440</v>
      </c>
      <c r="AB26" s="13" t="s">
        <v>224</v>
      </c>
    </row>
    <row r="27" customFormat="false" ht="57.45" hidden="false" customHeight="false" outlineLevel="0" collapsed="false">
      <c r="A27" s="13" t="s">
        <v>446</v>
      </c>
      <c r="B27" s="13" t="s">
        <v>447</v>
      </c>
      <c r="C27" s="13" t="s">
        <v>428</v>
      </c>
      <c r="D27" s="7" t="s">
        <v>429</v>
      </c>
      <c r="E27" s="13" t="s">
        <v>448</v>
      </c>
      <c r="F27" s="7" t="s">
        <v>431</v>
      </c>
      <c r="G27" s="13" t="s">
        <v>432</v>
      </c>
      <c r="H27" s="7" t="s">
        <v>433</v>
      </c>
      <c r="I27" s="7" t="s">
        <v>434</v>
      </c>
      <c r="J27" s="7" t="s">
        <v>449</v>
      </c>
      <c r="K27" s="7" t="s">
        <v>450</v>
      </c>
      <c r="L27" s="16" t="s">
        <v>31</v>
      </c>
      <c r="M27" s="7" t="s">
        <v>437</v>
      </c>
      <c r="N27" s="7" t="s">
        <v>328</v>
      </c>
      <c r="O27" s="16" t="s">
        <v>115</v>
      </c>
      <c r="P27" s="7" t="s">
        <v>451</v>
      </c>
      <c r="Q27" s="7" t="s">
        <v>131</v>
      </c>
      <c r="R27" s="7" t="s">
        <v>452</v>
      </c>
      <c r="S27" s="7" t="s">
        <v>220</v>
      </c>
      <c r="T27" s="13" t="s">
        <v>331</v>
      </c>
      <c r="U27" s="7" t="s">
        <v>219</v>
      </c>
      <c r="V27" s="7" t="s">
        <v>220</v>
      </c>
      <c r="W27" s="7"/>
      <c r="X27" s="13" t="s">
        <v>220</v>
      </c>
      <c r="Y27" s="7" t="s">
        <v>439</v>
      </c>
      <c r="Z27" s="7" t="s">
        <v>222</v>
      </c>
      <c r="AA27" s="7" t="s">
        <v>440</v>
      </c>
      <c r="AB27" s="13" t="s">
        <v>224</v>
      </c>
    </row>
    <row r="28" customFormat="false" ht="57.45" hidden="false" customHeight="false" outlineLevel="0" collapsed="false">
      <c r="A28" s="13" t="s">
        <v>453</v>
      </c>
      <c r="B28" s="13" t="s">
        <v>454</v>
      </c>
      <c r="C28" s="13" t="s">
        <v>428</v>
      </c>
      <c r="D28" s="7" t="s">
        <v>429</v>
      </c>
      <c r="E28" s="13" t="s">
        <v>455</v>
      </c>
      <c r="F28" s="7" t="s">
        <v>431</v>
      </c>
      <c r="G28" s="13" t="s">
        <v>432</v>
      </c>
      <c r="H28" s="7" t="s">
        <v>433</v>
      </c>
      <c r="I28" s="7" t="s">
        <v>434</v>
      </c>
      <c r="J28" s="7" t="s">
        <v>456</v>
      </c>
      <c r="K28" s="7" t="s">
        <v>457</v>
      </c>
      <c r="L28" s="16" t="s">
        <v>31</v>
      </c>
      <c r="M28" s="7" t="s">
        <v>437</v>
      </c>
      <c r="N28" s="7" t="s">
        <v>328</v>
      </c>
      <c r="O28" s="16" t="s">
        <v>115</v>
      </c>
      <c r="P28" s="7" t="s">
        <v>132</v>
      </c>
      <c r="Q28" s="7" t="s">
        <v>132</v>
      </c>
      <c r="R28" s="7" t="s">
        <v>458</v>
      </c>
      <c r="S28" s="7" t="s">
        <v>220</v>
      </c>
      <c r="T28" s="13" t="s">
        <v>331</v>
      </c>
      <c r="U28" s="7" t="s">
        <v>219</v>
      </c>
      <c r="V28" s="7" t="s">
        <v>220</v>
      </c>
      <c r="W28" s="7"/>
      <c r="X28" s="13" t="s">
        <v>220</v>
      </c>
      <c r="Y28" s="7" t="s">
        <v>439</v>
      </c>
      <c r="Z28" s="7" t="s">
        <v>222</v>
      </c>
      <c r="AA28" s="7" t="s">
        <v>440</v>
      </c>
      <c r="AB28" s="13" t="s">
        <v>224</v>
      </c>
    </row>
    <row r="29" customFormat="false" ht="57.45" hidden="false" customHeight="false" outlineLevel="0" collapsed="false">
      <c r="A29" s="13" t="s">
        <v>459</v>
      </c>
      <c r="B29" s="13" t="s">
        <v>460</v>
      </c>
      <c r="C29" s="13" t="s">
        <v>461</v>
      </c>
      <c r="D29" s="7" t="s">
        <v>462</v>
      </c>
      <c r="E29" s="13" t="s">
        <v>337</v>
      </c>
      <c r="F29" s="7" t="s">
        <v>463</v>
      </c>
      <c r="G29" s="13" t="s">
        <v>464</v>
      </c>
      <c r="H29" s="7" t="s">
        <v>465</v>
      </c>
      <c r="I29" s="7" t="s">
        <v>466</v>
      </c>
      <c r="J29" s="7" t="s">
        <v>467</v>
      </c>
      <c r="K29" s="7" t="s">
        <v>468</v>
      </c>
      <c r="L29" s="16" t="s">
        <v>27</v>
      </c>
      <c r="M29" s="7" t="s">
        <v>297</v>
      </c>
      <c r="N29" s="7" t="s">
        <v>111</v>
      </c>
      <c r="O29" s="16" t="s">
        <v>111</v>
      </c>
      <c r="P29" s="7" t="s">
        <v>469</v>
      </c>
      <c r="Q29" s="7" t="s">
        <v>130</v>
      </c>
      <c r="R29" s="7" t="s">
        <v>470</v>
      </c>
      <c r="S29" s="7" t="s">
        <v>270</v>
      </c>
      <c r="T29" s="13" t="s">
        <v>270</v>
      </c>
      <c r="U29" s="7" t="s">
        <v>219</v>
      </c>
      <c r="V29" s="7" t="s">
        <v>300</v>
      </c>
      <c r="W29" s="17" t="n">
        <v>46356</v>
      </c>
      <c r="X29" s="13" t="s">
        <v>240</v>
      </c>
      <c r="Y29" s="7" t="s">
        <v>471</v>
      </c>
      <c r="Z29" s="7" t="s">
        <v>472</v>
      </c>
      <c r="AA29" s="7" t="s">
        <v>473</v>
      </c>
      <c r="AB29" s="13" t="s">
        <v>224</v>
      </c>
    </row>
    <row r="30" customFormat="false" ht="57.45" hidden="false" customHeight="false" outlineLevel="0" collapsed="false">
      <c r="A30" s="13" t="s">
        <v>474</v>
      </c>
      <c r="B30" s="13" t="s">
        <v>475</v>
      </c>
      <c r="C30" s="13" t="s">
        <v>461</v>
      </c>
      <c r="D30" s="7" t="s">
        <v>462</v>
      </c>
      <c r="E30" s="13" t="s">
        <v>337</v>
      </c>
      <c r="F30" s="7" t="s">
        <v>463</v>
      </c>
      <c r="G30" s="13" t="s">
        <v>464</v>
      </c>
      <c r="H30" s="7" t="s">
        <v>465</v>
      </c>
      <c r="I30" s="7" t="s">
        <v>466</v>
      </c>
      <c r="J30" s="7" t="s">
        <v>476</v>
      </c>
      <c r="K30" s="7" t="s">
        <v>477</v>
      </c>
      <c r="L30" s="16" t="s">
        <v>27</v>
      </c>
      <c r="M30" s="7" t="s">
        <v>297</v>
      </c>
      <c r="N30" s="7" t="s">
        <v>113</v>
      </c>
      <c r="O30" s="16" t="s">
        <v>113</v>
      </c>
      <c r="P30" s="7" t="s">
        <v>478</v>
      </c>
      <c r="Q30" s="7" t="s">
        <v>130</v>
      </c>
      <c r="R30" s="7" t="s">
        <v>479</v>
      </c>
      <c r="S30" s="7" t="s">
        <v>270</v>
      </c>
      <c r="T30" s="13" t="s">
        <v>270</v>
      </c>
      <c r="U30" s="7" t="s">
        <v>219</v>
      </c>
      <c r="V30" s="7" t="s">
        <v>345</v>
      </c>
      <c r="W30" s="17" t="n">
        <v>46387</v>
      </c>
      <c r="X30" s="13" t="s">
        <v>240</v>
      </c>
      <c r="Y30" s="7" t="s">
        <v>480</v>
      </c>
      <c r="Z30" s="7" t="s">
        <v>481</v>
      </c>
      <c r="AA30" s="7" t="s">
        <v>482</v>
      </c>
      <c r="AB30" s="13" t="s">
        <v>224</v>
      </c>
    </row>
    <row r="31" customFormat="false" ht="57.45" hidden="false" customHeight="false" outlineLevel="0" collapsed="false">
      <c r="A31" s="13" t="s">
        <v>483</v>
      </c>
      <c r="B31" s="13" t="s">
        <v>484</v>
      </c>
      <c r="C31" s="13" t="s">
        <v>461</v>
      </c>
      <c r="D31" s="7" t="s">
        <v>462</v>
      </c>
      <c r="E31" s="13" t="s">
        <v>337</v>
      </c>
      <c r="F31" s="7" t="s">
        <v>463</v>
      </c>
      <c r="G31" s="13" t="s">
        <v>464</v>
      </c>
      <c r="H31" s="7" t="s">
        <v>465</v>
      </c>
      <c r="I31" s="7" t="s">
        <v>466</v>
      </c>
      <c r="J31" s="7" t="s">
        <v>485</v>
      </c>
      <c r="K31" s="7" t="s">
        <v>486</v>
      </c>
      <c r="L31" s="16" t="s">
        <v>27</v>
      </c>
      <c r="M31" s="7" t="s">
        <v>297</v>
      </c>
      <c r="N31" s="7" t="s">
        <v>113</v>
      </c>
      <c r="O31" s="16" t="s">
        <v>113</v>
      </c>
      <c r="P31" s="7" t="s">
        <v>487</v>
      </c>
      <c r="Q31" s="7" t="s">
        <v>130</v>
      </c>
      <c r="R31" s="7" t="s">
        <v>488</v>
      </c>
      <c r="S31" s="7" t="s">
        <v>270</v>
      </c>
      <c r="T31" s="13" t="s">
        <v>270</v>
      </c>
      <c r="U31" s="7" t="s">
        <v>219</v>
      </c>
      <c r="V31" s="7" t="s">
        <v>345</v>
      </c>
      <c r="W31" s="17" t="n">
        <v>46387</v>
      </c>
      <c r="X31" s="13" t="s">
        <v>240</v>
      </c>
      <c r="Y31" s="7" t="s">
        <v>489</v>
      </c>
      <c r="Z31" s="7" t="s">
        <v>490</v>
      </c>
      <c r="AA31" s="7" t="s">
        <v>491</v>
      </c>
      <c r="AB31" s="13" t="s">
        <v>224</v>
      </c>
    </row>
    <row r="32" customFormat="false" ht="57.45" hidden="false" customHeight="false" outlineLevel="0" collapsed="false">
      <c r="A32" s="13" t="s">
        <v>492</v>
      </c>
      <c r="B32" s="13" t="s">
        <v>493</v>
      </c>
      <c r="C32" s="13" t="s">
        <v>461</v>
      </c>
      <c r="D32" s="7" t="s">
        <v>462</v>
      </c>
      <c r="E32" s="13" t="s">
        <v>337</v>
      </c>
      <c r="F32" s="7" t="s">
        <v>463</v>
      </c>
      <c r="G32" s="13" t="s">
        <v>464</v>
      </c>
      <c r="H32" s="7" t="s">
        <v>465</v>
      </c>
      <c r="I32" s="7" t="s">
        <v>466</v>
      </c>
      <c r="J32" s="7" t="s">
        <v>494</v>
      </c>
      <c r="K32" s="7" t="s">
        <v>495</v>
      </c>
      <c r="L32" s="16" t="s">
        <v>29</v>
      </c>
      <c r="M32" s="7" t="s">
        <v>267</v>
      </c>
      <c r="N32" s="7" t="s">
        <v>315</v>
      </c>
      <c r="O32" s="16" t="s">
        <v>114</v>
      </c>
      <c r="P32" s="7" t="s">
        <v>130</v>
      </c>
      <c r="Q32" s="7" t="s">
        <v>130</v>
      </c>
      <c r="R32" s="7" t="s">
        <v>496</v>
      </c>
      <c r="S32" s="7" t="s">
        <v>270</v>
      </c>
      <c r="T32" s="13" t="s">
        <v>270</v>
      </c>
      <c r="U32" s="7" t="s">
        <v>219</v>
      </c>
      <c r="V32" s="7" t="s">
        <v>361</v>
      </c>
      <c r="W32" s="7"/>
      <c r="X32" s="13" t="s">
        <v>283</v>
      </c>
      <c r="Y32" s="7" t="s">
        <v>497</v>
      </c>
      <c r="Z32" s="7" t="s">
        <v>498</v>
      </c>
      <c r="AA32" s="7" t="s">
        <v>499</v>
      </c>
      <c r="AB32" s="13" t="s">
        <v>224</v>
      </c>
    </row>
    <row r="33" customFormat="false" ht="46.25" hidden="false" customHeight="false" outlineLevel="0" collapsed="false">
      <c r="A33" s="13" t="s">
        <v>500</v>
      </c>
      <c r="B33" s="13" t="s">
        <v>321</v>
      </c>
      <c r="C33" s="13" t="s">
        <v>461</v>
      </c>
      <c r="D33" s="7" t="s">
        <v>462</v>
      </c>
      <c r="E33" s="13" t="s">
        <v>501</v>
      </c>
      <c r="F33" s="7" t="s">
        <v>463</v>
      </c>
      <c r="G33" s="13" t="s">
        <v>464</v>
      </c>
      <c r="H33" s="7" t="s">
        <v>502</v>
      </c>
      <c r="I33" s="7" t="s">
        <v>503</v>
      </c>
      <c r="J33" s="7" t="s">
        <v>504</v>
      </c>
      <c r="K33" s="7" t="s">
        <v>505</v>
      </c>
      <c r="L33" s="16" t="s">
        <v>29</v>
      </c>
      <c r="M33" s="7" t="s">
        <v>327</v>
      </c>
      <c r="N33" s="7" t="s">
        <v>328</v>
      </c>
      <c r="O33" s="16" t="s">
        <v>115</v>
      </c>
      <c r="P33" s="7" t="s">
        <v>506</v>
      </c>
      <c r="Q33" s="7" t="s">
        <v>130</v>
      </c>
      <c r="R33" s="7" t="s">
        <v>507</v>
      </c>
      <c r="S33" s="7" t="s">
        <v>220</v>
      </c>
      <c r="T33" s="13" t="s">
        <v>331</v>
      </c>
      <c r="U33" s="7" t="s">
        <v>219</v>
      </c>
      <c r="V33" s="7" t="s">
        <v>220</v>
      </c>
      <c r="W33" s="7"/>
      <c r="X33" s="13" t="s">
        <v>220</v>
      </c>
      <c r="Y33" s="7" t="s">
        <v>508</v>
      </c>
      <c r="Z33" s="7" t="s">
        <v>222</v>
      </c>
      <c r="AA33" s="7" t="s">
        <v>509</v>
      </c>
      <c r="AB33" s="13" t="s">
        <v>224</v>
      </c>
    </row>
  </sheetData>
  <autoFilter ref="A4:AB33"/>
  <mergeCells count="1">
    <mergeCell ref="A2:L2"/>
  </mergeCells>
  <conditionalFormatting sqref="A5:AB33">
    <cfRule type="expression" priority="2" aboveAverage="0" equalAverage="0" bottom="0" percent="0" rank="0" text="" dxfId="10">
      <formula>MOD(ROW(),2)=1</formula>
    </cfRule>
  </conditionalFormatting>
  <conditionalFormatting sqref="L5:L33">
    <cfRule type="expression" priority="3" aboveAverage="0" equalAverage="0" bottom="0" percent="0" rank="0" text="" dxfId="11">
      <formula>$L5="Confirmed Finding (Simulated)"</formula>
    </cfRule>
    <cfRule type="expression" priority="4" aboveAverage="0" equalAverage="0" bottom="0" percent="0" rank="0" text="" dxfId="12">
      <formula>$L5="Observation"</formula>
    </cfRule>
    <cfRule type="expression" priority="5" aboveAverage="0" equalAverage="0" bottom="0" percent="0" rank="0" text="" dxfId="13">
      <formula>$L5="Planning Gap"</formula>
    </cfRule>
  </conditionalFormatting>
  <conditionalFormatting sqref="O5:O33">
    <cfRule type="expression" priority="6" aboveAverage="0" equalAverage="0" bottom="0" percent="0" rank="0" text="" dxfId="14">
      <formula>$O5="High"</formula>
    </cfRule>
    <cfRule type="expression" priority="7" aboveAverage="0" equalAverage="0" bottom="0" percent="0" rank="0" text="" dxfId="15">
      <formula>$O5="Medium-High"</formula>
    </cfRule>
    <cfRule type="expression" priority="8" aboveAverage="0" equalAverage="0" bottom="0" percent="0" rank="0" text="" dxfId="12">
      <formula>$O5="Medium"</formula>
    </cfRule>
    <cfRule type="expression" priority="9" aboveAverage="0" equalAverage="0" bottom="0" percent="0" rank="0" text="" dxfId="16">
      <formula>$O5="Low"</formula>
    </cfRule>
  </conditionalFormatting>
  <conditionalFormatting sqref="U5:U33">
    <cfRule type="expression" priority="10" aboveAverage="0" equalAverage="0" bottom="0" percent="0" rank="0" text="" dxfId="17">
      <formula>LEFT($U5,13)="Not performed"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62"/>
    <col collapsed="false" customWidth="true" hidden="false" outlineLevel="0" max="8" min="8" style="0" width="40"/>
    <col collapsed="false" customWidth="true" hidden="false" outlineLevel="0" max="9" min="9" style="0" width="34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2" min="12" style="0" width="13"/>
    <col collapsed="false" customWidth="true" hidden="false" outlineLevel="0" max="13" min="13" style="0" width="46"/>
    <col collapsed="false" customWidth="true" hidden="false" outlineLevel="0" max="14" min="14" style="0" width="24"/>
    <col collapsed="false" customWidth="true" hidden="false" outlineLevel="0" max="15" min="15" style="0" width="28"/>
    <col collapsed="false" customWidth="true" hidden="false" outlineLevel="0" max="16" min="16" style="0" width="22"/>
  </cols>
  <sheetData>
    <row r="1" customFormat="false" ht="19.7" hidden="false" customHeight="false" outlineLevel="0" collapsed="false">
      <c r="A1" s="1" t="s">
        <v>49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510</v>
      </c>
    </row>
    <row r="4" customFormat="false" ht="42" hidden="false" customHeight="true" outlineLevel="0" collapsed="false">
      <c r="A4" s="12" t="s">
        <v>511</v>
      </c>
      <c r="B4" s="12" t="s">
        <v>512</v>
      </c>
      <c r="C4" s="12" t="s">
        <v>178</v>
      </c>
      <c r="D4" s="12" t="s">
        <v>179</v>
      </c>
      <c r="E4" s="12" t="s">
        <v>513</v>
      </c>
      <c r="F4" s="12" t="s">
        <v>514</v>
      </c>
      <c r="G4" s="12" t="s">
        <v>515</v>
      </c>
      <c r="H4" s="12" t="s">
        <v>516</v>
      </c>
      <c r="I4" s="12" t="s">
        <v>517</v>
      </c>
      <c r="J4" s="12" t="s">
        <v>194</v>
      </c>
      <c r="K4" s="12" t="s">
        <v>196</v>
      </c>
      <c r="L4" s="12" t="s">
        <v>197</v>
      </c>
      <c r="M4" s="12" t="s">
        <v>518</v>
      </c>
      <c r="N4" s="12" t="s">
        <v>519</v>
      </c>
      <c r="O4" s="12" t="s">
        <v>195</v>
      </c>
      <c r="P4" s="12" t="s">
        <v>202</v>
      </c>
    </row>
    <row r="5" customFormat="false" ht="23.85" hidden="false" customHeight="false" outlineLevel="0" collapsed="false">
      <c r="A5" s="13" t="s">
        <v>520</v>
      </c>
      <c r="B5" s="13" t="s">
        <v>203</v>
      </c>
      <c r="C5" s="13" t="s">
        <v>204</v>
      </c>
      <c r="D5" s="13" t="s">
        <v>205</v>
      </c>
      <c r="E5" s="7" t="str">
        <f aca="false">INDEX(Findings!$L$5:$L$33,MATCH($B5,Findings!$A$5:$A$33,0))</f>
        <v>Observation</v>
      </c>
      <c r="F5" s="7" t="str">
        <f aca="false">INDEX(Findings!$N$5:$N$33,MATCH($B5,Findings!$A$5:$A$33,0))</f>
        <v>Not separately rated; Risk / Impact: Low</v>
      </c>
      <c r="G5" s="7" t="s">
        <v>216</v>
      </c>
      <c r="H5" s="7" t="s">
        <v>124</v>
      </c>
      <c r="I5" s="7" t="s">
        <v>217</v>
      </c>
      <c r="J5" s="13" t="s">
        <v>218</v>
      </c>
      <c r="K5" s="7" t="s">
        <v>220</v>
      </c>
      <c r="L5" s="7"/>
      <c r="M5" s="7" t="s">
        <v>222</v>
      </c>
      <c r="N5" s="13" t="s">
        <v>521</v>
      </c>
      <c r="O5" s="7" t="s">
        <v>219</v>
      </c>
      <c r="P5" s="7" t="s">
        <v>224</v>
      </c>
    </row>
    <row r="6" customFormat="false" ht="35.05" hidden="false" customHeight="false" outlineLevel="0" collapsed="false">
      <c r="A6" s="13" t="s">
        <v>522</v>
      </c>
      <c r="B6" s="13" t="s">
        <v>225</v>
      </c>
      <c r="C6" s="13" t="s">
        <v>226</v>
      </c>
      <c r="D6" s="13" t="s">
        <v>227</v>
      </c>
      <c r="E6" s="7" t="str">
        <f aca="false">INDEX(Findings!$L$5:$L$33,MATCH($B6,Findings!$A$5:$A$33,0))</f>
        <v>Confirmed Finding (Simulated)</v>
      </c>
      <c r="F6" s="7" t="str">
        <f aca="false">INDEX(Findings!$N$5:$N$33,MATCH($B6,Findings!$A$5:$A$33,0))</f>
        <v>Medium</v>
      </c>
      <c r="G6" s="7" t="s">
        <v>237</v>
      </c>
      <c r="H6" s="7" t="s">
        <v>236</v>
      </c>
      <c r="I6" s="7" t="s">
        <v>238</v>
      </c>
      <c r="J6" s="13" t="s">
        <v>238</v>
      </c>
      <c r="K6" s="7" t="s">
        <v>239</v>
      </c>
      <c r="L6" s="17" t="n">
        <v>46326</v>
      </c>
      <c r="M6" s="7" t="s">
        <v>222</v>
      </c>
      <c r="N6" s="13" t="s">
        <v>521</v>
      </c>
      <c r="O6" s="7" t="s">
        <v>219</v>
      </c>
      <c r="P6" s="7" t="s">
        <v>224</v>
      </c>
    </row>
    <row r="7" customFormat="false" ht="35.05" hidden="false" customHeight="false" outlineLevel="0" collapsed="false">
      <c r="A7" s="13" t="s">
        <v>523</v>
      </c>
      <c r="B7" s="13" t="s">
        <v>243</v>
      </c>
      <c r="C7" s="13" t="s">
        <v>244</v>
      </c>
      <c r="D7" s="13" t="s">
        <v>227</v>
      </c>
      <c r="E7" s="7" t="str">
        <f aca="false">INDEX(Findings!$L$5:$L$33,MATCH($B7,Findings!$A$5:$A$33,0))</f>
        <v>Confirmed Finding (Simulated)</v>
      </c>
      <c r="F7" s="7" t="str">
        <f aca="false">INDEX(Findings!$N$5:$N$33,MATCH($B7,Findings!$A$5:$A$33,0))</f>
        <v>Medium-High</v>
      </c>
      <c r="G7" s="7" t="s">
        <v>247</v>
      </c>
      <c r="H7" s="7" t="s">
        <v>236</v>
      </c>
      <c r="I7" s="7" t="s">
        <v>238</v>
      </c>
      <c r="J7" s="13" t="s">
        <v>238</v>
      </c>
      <c r="K7" s="7" t="s">
        <v>239</v>
      </c>
      <c r="L7" s="17" t="n">
        <v>46326</v>
      </c>
      <c r="M7" s="7" t="s">
        <v>222</v>
      </c>
      <c r="N7" s="13" t="s">
        <v>521</v>
      </c>
      <c r="O7" s="7" t="s">
        <v>219</v>
      </c>
      <c r="P7" s="7" t="s">
        <v>224</v>
      </c>
    </row>
    <row r="8" customFormat="false" ht="35.05" hidden="false" customHeight="false" outlineLevel="0" collapsed="false">
      <c r="A8" s="13" t="s">
        <v>524</v>
      </c>
      <c r="B8" s="13" t="s">
        <v>248</v>
      </c>
      <c r="C8" s="13" t="s">
        <v>249</v>
      </c>
      <c r="D8" s="13" t="s">
        <v>227</v>
      </c>
      <c r="E8" s="7" t="str">
        <f aca="false">INDEX(Findings!$L$5:$L$33,MATCH($B8,Findings!$A$5:$A$33,0))</f>
        <v>Confirmed Finding (Simulated)</v>
      </c>
      <c r="F8" s="7" t="str">
        <f aca="false">INDEX(Findings!$N$5:$N$33,MATCH($B8,Findings!$A$5:$A$33,0))</f>
        <v>High (window)</v>
      </c>
      <c r="G8" s="7" t="s">
        <v>525</v>
      </c>
      <c r="H8" s="7" t="s">
        <v>253</v>
      </c>
      <c r="I8" s="7" t="s">
        <v>526</v>
      </c>
      <c r="J8" s="13" t="s">
        <v>527</v>
      </c>
      <c r="K8" s="7" t="s">
        <v>220</v>
      </c>
      <c r="L8" s="7"/>
      <c r="M8" s="7" t="s">
        <v>222</v>
      </c>
      <c r="N8" s="13" t="s">
        <v>521</v>
      </c>
      <c r="O8" s="7" t="s">
        <v>219</v>
      </c>
      <c r="P8" s="7" t="s">
        <v>224</v>
      </c>
    </row>
    <row r="9" customFormat="false" ht="35.05" hidden="false" customHeight="false" outlineLevel="0" collapsed="false">
      <c r="A9" s="13" t="s">
        <v>528</v>
      </c>
      <c r="B9" s="13" t="s">
        <v>248</v>
      </c>
      <c r="C9" s="13" t="s">
        <v>249</v>
      </c>
      <c r="D9" s="13" t="s">
        <v>227</v>
      </c>
      <c r="E9" s="7" t="str">
        <f aca="false">INDEX(Findings!$L$5:$L$33,MATCH($B9,Findings!$A$5:$A$33,0))</f>
        <v>Confirmed Finding (Simulated)</v>
      </c>
      <c r="F9" s="7" t="str">
        <f aca="false">INDEX(Findings!$N$5:$N$33,MATCH($B9,Findings!$A$5:$A$33,0))</f>
        <v>High (window)</v>
      </c>
      <c r="G9" s="7" t="s">
        <v>254</v>
      </c>
      <c r="H9" s="7" t="s">
        <v>253</v>
      </c>
      <c r="I9" s="7" t="s">
        <v>529</v>
      </c>
      <c r="J9" s="13" t="s">
        <v>270</v>
      </c>
      <c r="K9" s="7" t="s">
        <v>257</v>
      </c>
      <c r="L9" s="17" t="n">
        <v>46341</v>
      </c>
      <c r="M9" s="7" t="s">
        <v>222</v>
      </c>
      <c r="N9" s="13" t="s">
        <v>521</v>
      </c>
      <c r="O9" s="7" t="s">
        <v>219</v>
      </c>
      <c r="P9" s="7" t="s">
        <v>224</v>
      </c>
    </row>
    <row r="10" customFormat="false" ht="23.85" hidden="false" customHeight="false" outlineLevel="0" collapsed="false">
      <c r="A10" s="13" t="s">
        <v>530</v>
      </c>
      <c r="B10" s="13" t="s">
        <v>258</v>
      </c>
      <c r="C10" s="13" t="s">
        <v>204</v>
      </c>
      <c r="D10" s="13" t="s">
        <v>259</v>
      </c>
      <c r="E10" s="7" t="str">
        <f aca="false">INDEX(Findings!$L$5:$L$33,MATCH($B10,Findings!$A$5:$A$33,0))</f>
        <v>Observation</v>
      </c>
      <c r="F10" s="7" t="str">
        <f aca="false">INDEX(Findings!$N$5:$N$33,MATCH($B10,Findings!$A$5:$A$33,0))</f>
        <v>Not separately rated; Risk / Impact: Low</v>
      </c>
      <c r="G10" s="7" t="s">
        <v>268</v>
      </c>
      <c r="H10" s="7" t="s">
        <v>125</v>
      </c>
      <c r="I10" s="7" t="s">
        <v>269</v>
      </c>
      <c r="J10" s="13" t="s">
        <v>270</v>
      </c>
      <c r="K10" s="7" t="s">
        <v>239</v>
      </c>
      <c r="L10" s="17" t="n">
        <v>46326</v>
      </c>
      <c r="M10" s="7" t="s">
        <v>222</v>
      </c>
      <c r="N10" s="13" t="s">
        <v>521</v>
      </c>
      <c r="O10" s="7" t="s">
        <v>219</v>
      </c>
      <c r="P10" s="7" t="s">
        <v>224</v>
      </c>
    </row>
    <row r="11" customFormat="false" ht="23.85" hidden="false" customHeight="false" outlineLevel="0" collapsed="false">
      <c r="A11" s="13" t="s">
        <v>531</v>
      </c>
      <c r="B11" s="13" t="s">
        <v>273</v>
      </c>
      <c r="C11" s="13" t="s">
        <v>204</v>
      </c>
      <c r="D11" s="13" t="s">
        <v>274</v>
      </c>
      <c r="E11" s="7" t="str">
        <f aca="false">INDEX(Findings!$L$5:$L$33,MATCH($B11,Findings!$A$5:$A$33,0))</f>
        <v>Observation</v>
      </c>
      <c r="F11" s="7" t="str">
        <f aca="false">INDEX(Findings!$N$5:$N$33,MATCH($B11,Findings!$A$5:$A$33,0))</f>
        <v>Not separately rated; Risk / Impact: Low</v>
      </c>
      <c r="G11" s="7" t="s">
        <v>281</v>
      </c>
      <c r="H11" s="7" t="s">
        <v>123</v>
      </c>
      <c r="I11" s="7" t="s">
        <v>270</v>
      </c>
      <c r="J11" s="13" t="s">
        <v>270</v>
      </c>
      <c r="K11" s="7" t="s">
        <v>282</v>
      </c>
      <c r="L11" s="7"/>
      <c r="M11" s="7" t="s">
        <v>285</v>
      </c>
      <c r="N11" s="13" t="s">
        <v>521</v>
      </c>
      <c r="O11" s="7" t="s">
        <v>219</v>
      </c>
      <c r="P11" s="7" t="s">
        <v>224</v>
      </c>
    </row>
    <row r="12" customFormat="false" ht="35.05" hidden="false" customHeight="false" outlineLevel="0" collapsed="false">
      <c r="A12" s="13" t="s">
        <v>532</v>
      </c>
      <c r="B12" s="13" t="s">
        <v>287</v>
      </c>
      <c r="C12" s="13" t="s">
        <v>288</v>
      </c>
      <c r="D12" s="13" t="s">
        <v>289</v>
      </c>
      <c r="E12" s="7" t="str">
        <f aca="false">INDEX(Findings!$L$5:$L$33,MATCH($B12,Findings!$A$5:$A$33,0))</f>
        <v>Confirmed Finding (Simulated)</v>
      </c>
      <c r="F12" s="7" t="str">
        <f aca="false">INDEX(Findings!$N$5:$N$33,MATCH($B12,Findings!$A$5:$A$33,0))</f>
        <v>Medium</v>
      </c>
      <c r="G12" s="7" t="s">
        <v>299</v>
      </c>
      <c r="H12" s="7" t="s">
        <v>298</v>
      </c>
      <c r="I12" s="7" t="s">
        <v>238</v>
      </c>
      <c r="J12" s="13" t="s">
        <v>238</v>
      </c>
      <c r="K12" s="7" t="s">
        <v>300</v>
      </c>
      <c r="L12" s="17" t="n">
        <v>46356</v>
      </c>
      <c r="M12" s="7" t="s">
        <v>302</v>
      </c>
      <c r="N12" s="13" t="s">
        <v>521</v>
      </c>
      <c r="O12" s="7" t="s">
        <v>219</v>
      </c>
      <c r="P12" s="7" t="s">
        <v>224</v>
      </c>
    </row>
    <row r="13" customFormat="false" ht="46.25" hidden="false" customHeight="false" outlineLevel="0" collapsed="false">
      <c r="A13" s="13" t="s">
        <v>533</v>
      </c>
      <c r="B13" s="13" t="s">
        <v>304</v>
      </c>
      <c r="C13" s="13" t="s">
        <v>305</v>
      </c>
      <c r="D13" s="13" t="s">
        <v>289</v>
      </c>
      <c r="E13" s="7" t="str">
        <f aca="false">INDEX(Findings!$L$5:$L$33,MATCH($B13,Findings!$A$5:$A$33,0))</f>
        <v>Confirmed Finding (Simulated)</v>
      </c>
      <c r="F13" s="7" t="str">
        <f aca="false">INDEX(Findings!$N$5:$N$33,MATCH($B13,Findings!$A$5:$A$33,0))</f>
        <v>Medium</v>
      </c>
      <c r="G13" s="7" t="s">
        <v>309</v>
      </c>
      <c r="H13" s="7" t="s">
        <v>308</v>
      </c>
      <c r="I13" s="7" t="s">
        <v>238</v>
      </c>
      <c r="J13" s="13" t="s">
        <v>238</v>
      </c>
      <c r="K13" s="7" t="s">
        <v>300</v>
      </c>
      <c r="L13" s="17" t="n">
        <v>46356</v>
      </c>
      <c r="M13" s="7" t="s">
        <v>310</v>
      </c>
      <c r="N13" s="13" t="s">
        <v>521</v>
      </c>
      <c r="O13" s="7" t="s">
        <v>219</v>
      </c>
      <c r="P13" s="7" t="s">
        <v>224</v>
      </c>
    </row>
    <row r="14" customFormat="false" ht="35.05" hidden="false" customHeight="false" outlineLevel="0" collapsed="false">
      <c r="A14" s="13" t="s">
        <v>534</v>
      </c>
      <c r="B14" s="13" t="s">
        <v>311</v>
      </c>
      <c r="C14" s="13" t="s">
        <v>312</v>
      </c>
      <c r="D14" s="13" t="s">
        <v>289</v>
      </c>
      <c r="E14" s="7" t="str">
        <f aca="false">INDEX(Findings!$L$5:$L$33,MATCH($B14,Findings!$A$5:$A$33,0))</f>
        <v>Observation</v>
      </c>
      <c r="F14" s="7" t="str">
        <f aca="false">INDEX(Findings!$N$5:$N$33,MATCH($B14,Findings!$A$5:$A$33,0))</f>
        <v>Low (Observation)</v>
      </c>
      <c r="G14" s="7" t="s">
        <v>316</v>
      </c>
      <c r="H14" s="7" t="s">
        <v>126</v>
      </c>
      <c r="I14" s="7" t="s">
        <v>270</v>
      </c>
      <c r="J14" s="13" t="s">
        <v>270</v>
      </c>
      <c r="K14" s="7" t="s">
        <v>317</v>
      </c>
      <c r="L14" s="7"/>
      <c r="M14" s="7" t="s">
        <v>318</v>
      </c>
      <c r="N14" s="13" t="s">
        <v>521</v>
      </c>
      <c r="O14" s="7" t="s">
        <v>219</v>
      </c>
      <c r="P14" s="7" t="s">
        <v>224</v>
      </c>
    </row>
    <row r="15" customFormat="false" ht="23.85" hidden="false" customHeight="false" outlineLevel="0" collapsed="false">
      <c r="A15" s="13" t="s">
        <v>535</v>
      </c>
      <c r="B15" s="13" t="s">
        <v>320</v>
      </c>
      <c r="C15" s="13" t="s">
        <v>321</v>
      </c>
      <c r="D15" s="13" t="s">
        <v>289</v>
      </c>
      <c r="E15" s="7" t="str">
        <f aca="false">INDEX(Findings!$L$5:$L$33,MATCH($B15,Findings!$A$5:$A$33,0))</f>
        <v>Observation</v>
      </c>
      <c r="F15" s="7" t="str">
        <f aca="false">INDEX(Findings!$N$5:$N$33,MATCH($B15,Findings!$A$5:$A$33,0))</f>
        <v>Not rated in source</v>
      </c>
      <c r="G15" s="7" t="s">
        <v>330</v>
      </c>
      <c r="H15" s="7" t="s">
        <v>329</v>
      </c>
      <c r="I15" s="7" t="s">
        <v>220</v>
      </c>
      <c r="J15" s="13" t="s">
        <v>331</v>
      </c>
      <c r="K15" s="7" t="s">
        <v>220</v>
      </c>
      <c r="L15" s="7"/>
      <c r="M15" s="7" t="s">
        <v>222</v>
      </c>
      <c r="N15" s="13" t="s">
        <v>521</v>
      </c>
      <c r="O15" s="7" t="s">
        <v>219</v>
      </c>
      <c r="P15" s="7" t="s">
        <v>224</v>
      </c>
    </row>
    <row r="16" customFormat="false" ht="46.25" hidden="false" customHeight="false" outlineLevel="0" collapsed="false">
      <c r="A16" s="13" t="s">
        <v>536</v>
      </c>
      <c r="B16" s="13" t="s">
        <v>333</v>
      </c>
      <c r="C16" s="13" t="s">
        <v>334</v>
      </c>
      <c r="D16" s="13" t="s">
        <v>335</v>
      </c>
      <c r="E16" s="7" t="str">
        <f aca="false">INDEX(Findings!$L$5:$L$33,MATCH($B16,Findings!$A$5:$A$33,0))</f>
        <v>Confirmed Finding (Simulated)</v>
      </c>
      <c r="F16" s="7" t="str">
        <f aca="false">INDEX(Findings!$N$5:$N$33,MATCH($B16,Findings!$A$5:$A$33,0))</f>
        <v>Medium</v>
      </c>
      <c r="G16" s="7" t="s">
        <v>344</v>
      </c>
      <c r="H16" s="7" t="s">
        <v>343</v>
      </c>
      <c r="I16" s="7" t="s">
        <v>238</v>
      </c>
      <c r="J16" s="13" t="s">
        <v>238</v>
      </c>
      <c r="K16" s="7" t="s">
        <v>345</v>
      </c>
      <c r="L16" s="17" t="n">
        <v>46387</v>
      </c>
      <c r="M16" s="7" t="s">
        <v>347</v>
      </c>
      <c r="N16" s="13" t="s">
        <v>521</v>
      </c>
      <c r="O16" s="7" t="s">
        <v>219</v>
      </c>
      <c r="P16" s="7" t="s">
        <v>224</v>
      </c>
    </row>
    <row r="17" customFormat="false" ht="46.25" hidden="false" customHeight="false" outlineLevel="0" collapsed="false">
      <c r="A17" s="13" t="s">
        <v>537</v>
      </c>
      <c r="B17" s="13" t="s">
        <v>349</v>
      </c>
      <c r="C17" s="13" t="s">
        <v>350</v>
      </c>
      <c r="D17" s="13" t="s">
        <v>335</v>
      </c>
      <c r="E17" s="7" t="str">
        <f aca="false">INDEX(Findings!$L$5:$L$33,MATCH($B17,Findings!$A$5:$A$33,0))</f>
        <v>Confirmed Finding (Simulated)</v>
      </c>
      <c r="F17" s="7" t="str">
        <f aca="false">INDEX(Findings!$N$5:$N$33,MATCH($B17,Findings!$A$5:$A$33,0))</f>
        <v>Medium</v>
      </c>
      <c r="G17" s="7" t="s">
        <v>354</v>
      </c>
      <c r="H17" s="7" t="s">
        <v>353</v>
      </c>
      <c r="I17" s="7" t="s">
        <v>238</v>
      </c>
      <c r="J17" s="13" t="s">
        <v>238</v>
      </c>
      <c r="K17" s="7" t="s">
        <v>345</v>
      </c>
      <c r="L17" s="17" t="n">
        <v>46387</v>
      </c>
      <c r="M17" s="7" t="s">
        <v>355</v>
      </c>
      <c r="N17" s="13" t="s">
        <v>521</v>
      </c>
      <c r="O17" s="7" t="s">
        <v>219</v>
      </c>
      <c r="P17" s="7" t="s">
        <v>224</v>
      </c>
    </row>
    <row r="18" customFormat="false" ht="35.05" hidden="false" customHeight="false" outlineLevel="0" collapsed="false">
      <c r="A18" s="13" t="s">
        <v>538</v>
      </c>
      <c r="B18" s="13" t="s">
        <v>356</v>
      </c>
      <c r="C18" s="13" t="s">
        <v>357</v>
      </c>
      <c r="D18" s="13" t="s">
        <v>335</v>
      </c>
      <c r="E18" s="7" t="str">
        <f aca="false">INDEX(Findings!$L$5:$L$33,MATCH($B18,Findings!$A$5:$A$33,0))</f>
        <v>Observation</v>
      </c>
      <c r="F18" s="7" t="str">
        <f aca="false">INDEX(Findings!$N$5:$N$33,MATCH($B18,Findings!$A$5:$A$33,0))</f>
        <v>Low (Observation)</v>
      </c>
      <c r="G18" s="7" t="s">
        <v>360</v>
      </c>
      <c r="H18" s="7" t="s">
        <v>127</v>
      </c>
      <c r="I18" s="7" t="s">
        <v>270</v>
      </c>
      <c r="J18" s="13" t="s">
        <v>270</v>
      </c>
      <c r="K18" s="7" t="s">
        <v>361</v>
      </c>
      <c r="L18" s="7"/>
      <c r="M18" s="7" t="s">
        <v>362</v>
      </c>
      <c r="N18" s="13" t="s">
        <v>521</v>
      </c>
      <c r="O18" s="7" t="s">
        <v>219</v>
      </c>
      <c r="P18" s="7" t="s">
        <v>224</v>
      </c>
    </row>
    <row r="19" customFormat="false" ht="35.05" hidden="false" customHeight="false" outlineLevel="0" collapsed="false">
      <c r="A19" s="13" t="s">
        <v>539</v>
      </c>
      <c r="B19" s="13" t="s">
        <v>364</v>
      </c>
      <c r="C19" s="13" t="s">
        <v>321</v>
      </c>
      <c r="D19" s="13" t="s">
        <v>335</v>
      </c>
      <c r="E19" s="7" t="str">
        <f aca="false">INDEX(Findings!$L$5:$L$33,MATCH($B19,Findings!$A$5:$A$33,0))</f>
        <v>Observation</v>
      </c>
      <c r="F19" s="7" t="str">
        <f aca="false">INDEX(Findings!$N$5:$N$33,MATCH($B19,Findings!$A$5:$A$33,0))</f>
        <v>Not rated in source</v>
      </c>
      <c r="G19" s="7" t="s">
        <v>370</v>
      </c>
      <c r="H19" s="7" t="s">
        <v>369</v>
      </c>
      <c r="I19" s="7" t="s">
        <v>220</v>
      </c>
      <c r="J19" s="13" t="s">
        <v>331</v>
      </c>
      <c r="K19" s="7" t="s">
        <v>220</v>
      </c>
      <c r="L19" s="7"/>
      <c r="M19" s="7" t="s">
        <v>222</v>
      </c>
      <c r="N19" s="13" t="s">
        <v>521</v>
      </c>
      <c r="O19" s="7" t="s">
        <v>219</v>
      </c>
      <c r="P19" s="7" t="s">
        <v>224</v>
      </c>
    </row>
    <row r="20" customFormat="false" ht="35.05" hidden="false" customHeight="false" outlineLevel="0" collapsed="false">
      <c r="A20" s="13" t="s">
        <v>540</v>
      </c>
      <c r="B20" s="13" t="s">
        <v>371</v>
      </c>
      <c r="C20" s="13" t="s">
        <v>204</v>
      </c>
      <c r="D20" s="13" t="s">
        <v>372</v>
      </c>
      <c r="E20" s="7" t="str">
        <f aca="false">INDEX(Findings!$L$5:$L$33,MATCH($B20,Findings!$A$5:$A$33,0))</f>
        <v>Observation</v>
      </c>
      <c r="F20" s="7" t="str">
        <f aca="false">INDEX(Findings!$N$5:$N$33,MATCH($B20,Findings!$A$5:$A$33,0))</f>
        <v>Low</v>
      </c>
      <c r="G20" s="7" t="s">
        <v>380</v>
      </c>
      <c r="H20" s="7" t="s">
        <v>128</v>
      </c>
      <c r="I20" s="7" t="s">
        <v>270</v>
      </c>
      <c r="J20" s="13" t="s">
        <v>270</v>
      </c>
      <c r="K20" s="7" t="s">
        <v>361</v>
      </c>
      <c r="L20" s="7"/>
      <c r="M20" s="7" t="s">
        <v>382</v>
      </c>
      <c r="N20" s="13" t="s">
        <v>521</v>
      </c>
      <c r="O20" s="7" t="s">
        <v>219</v>
      </c>
      <c r="P20" s="7" t="s">
        <v>224</v>
      </c>
    </row>
    <row r="21" customFormat="false" ht="35.05" hidden="false" customHeight="false" outlineLevel="0" collapsed="false">
      <c r="A21" s="13" t="s">
        <v>541</v>
      </c>
      <c r="B21" s="13" t="s">
        <v>384</v>
      </c>
      <c r="C21" s="13" t="s">
        <v>385</v>
      </c>
      <c r="D21" s="13" t="s">
        <v>386</v>
      </c>
      <c r="E21" s="7" t="str">
        <f aca="false">INDEX(Findings!$L$5:$L$33,MATCH($B21,Findings!$A$5:$A$33,0))</f>
        <v>Confirmed Finding (Simulated)</v>
      </c>
      <c r="F21" s="7" t="str">
        <f aca="false">INDEX(Findings!$N$5:$N$33,MATCH($B21,Findings!$A$5:$A$33,0))</f>
        <v>Medium</v>
      </c>
      <c r="G21" s="7" t="s">
        <v>394</v>
      </c>
      <c r="H21" s="7" t="s">
        <v>393</v>
      </c>
      <c r="I21" s="7" t="s">
        <v>238</v>
      </c>
      <c r="J21" s="13" t="s">
        <v>238</v>
      </c>
      <c r="K21" s="7" t="s">
        <v>345</v>
      </c>
      <c r="L21" s="17" t="n">
        <v>46387</v>
      </c>
      <c r="M21" s="7" t="s">
        <v>396</v>
      </c>
      <c r="N21" s="13" t="s">
        <v>521</v>
      </c>
      <c r="O21" s="7" t="s">
        <v>219</v>
      </c>
      <c r="P21" s="7" t="s">
        <v>224</v>
      </c>
    </row>
    <row r="22" customFormat="false" ht="35.05" hidden="false" customHeight="false" outlineLevel="0" collapsed="false">
      <c r="A22" s="13" t="s">
        <v>542</v>
      </c>
      <c r="B22" s="13" t="s">
        <v>398</v>
      </c>
      <c r="C22" s="13" t="s">
        <v>399</v>
      </c>
      <c r="D22" s="13" t="s">
        <v>386</v>
      </c>
      <c r="E22" s="7" t="str">
        <f aca="false">INDEX(Findings!$L$5:$L$33,MATCH($B22,Findings!$A$5:$A$33,0))</f>
        <v>Confirmed Finding (Simulated)</v>
      </c>
      <c r="F22" s="7" t="str">
        <f aca="false">INDEX(Findings!$N$5:$N$33,MATCH($B22,Findings!$A$5:$A$33,0))</f>
        <v>Medium</v>
      </c>
      <c r="G22" s="7" t="s">
        <v>402</v>
      </c>
      <c r="H22" s="7" t="s">
        <v>129</v>
      </c>
      <c r="I22" s="7" t="s">
        <v>238</v>
      </c>
      <c r="J22" s="13" t="s">
        <v>238</v>
      </c>
      <c r="K22" s="7" t="s">
        <v>345</v>
      </c>
      <c r="L22" s="17" t="n">
        <v>46387</v>
      </c>
      <c r="M22" s="7" t="s">
        <v>403</v>
      </c>
      <c r="N22" s="13" t="s">
        <v>521</v>
      </c>
      <c r="O22" s="7" t="s">
        <v>219</v>
      </c>
      <c r="P22" s="7" t="s">
        <v>224</v>
      </c>
    </row>
    <row r="23" customFormat="false" ht="35.05" hidden="false" customHeight="false" outlineLevel="0" collapsed="false">
      <c r="A23" s="13" t="s">
        <v>543</v>
      </c>
      <c r="B23" s="13" t="s">
        <v>404</v>
      </c>
      <c r="C23" s="13" t="s">
        <v>405</v>
      </c>
      <c r="D23" s="13" t="s">
        <v>386</v>
      </c>
      <c r="E23" s="7" t="str">
        <f aca="false">INDEX(Findings!$L$5:$L$33,MATCH($B23,Findings!$A$5:$A$33,0))</f>
        <v>Observation</v>
      </c>
      <c r="F23" s="7" t="str">
        <f aca="false">INDEX(Findings!$N$5:$N$33,MATCH($B23,Findings!$A$5:$A$33,0))</f>
        <v>Low (Observation)</v>
      </c>
      <c r="G23" s="7" t="s">
        <v>408</v>
      </c>
      <c r="H23" s="7" t="s">
        <v>129</v>
      </c>
      <c r="I23" s="7" t="s">
        <v>270</v>
      </c>
      <c r="J23" s="13" t="s">
        <v>270</v>
      </c>
      <c r="K23" s="7" t="s">
        <v>361</v>
      </c>
      <c r="L23" s="7"/>
      <c r="M23" s="7" t="s">
        <v>409</v>
      </c>
      <c r="N23" s="13" t="s">
        <v>521</v>
      </c>
      <c r="O23" s="7" t="s">
        <v>219</v>
      </c>
      <c r="P23" s="7" t="s">
        <v>224</v>
      </c>
    </row>
    <row r="24" customFormat="false" ht="23.85" hidden="false" customHeight="false" outlineLevel="0" collapsed="false">
      <c r="A24" s="13" t="s">
        <v>544</v>
      </c>
      <c r="B24" s="13" t="s">
        <v>411</v>
      </c>
      <c r="C24" s="13" t="s">
        <v>321</v>
      </c>
      <c r="D24" s="13" t="s">
        <v>386</v>
      </c>
      <c r="E24" s="7" t="str">
        <f aca="false">INDEX(Findings!$L$5:$L$33,MATCH($B24,Findings!$A$5:$A$33,0))</f>
        <v>Observation</v>
      </c>
      <c r="F24" s="7" t="str">
        <f aca="false">INDEX(Findings!$N$5:$N$33,MATCH($B24,Findings!$A$5:$A$33,0))</f>
        <v>Not rated in source</v>
      </c>
      <c r="G24" s="7" t="s">
        <v>417</v>
      </c>
      <c r="H24" s="7" t="s">
        <v>416</v>
      </c>
      <c r="I24" s="7" t="s">
        <v>220</v>
      </c>
      <c r="J24" s="13" t="s">
        <v>331</v>
      </c>
      <c r="K24" s="7" t="s">
        <v>220</v>
      </c>
      <c r="L24" s="7"/>
      <c r="M24" s="7" t="s">
        <v>222</v>
      </c>
      <c r="N24" s="13" t="s">
        <v>521</v>
      </c>
      <c r="O24" s="7" t="s">
        <v>219</v>
      </c>
      <c r="P24" s="7" t="s">
        <v>224</v>
      </c>
    </row>
    <row r="25" customFormat="false" ht="23.85" hidden="false" customHeight="false" outlineLevel="0" collapsed="false">
      <c r="A25" s="13" t="s">
        <v>545</v>
      </c>
      <c r="B25" s="13" t="s">
        <v>418</v>
      </c>
      <c r="C25" s="13" t="s">
        <v>321</v>
      </c>
      <c r="D25" s="13" t="s">
        <v>386</v>
      </c>
      <c r="E25" s="7" t="str">
        <f aca="false">INDEX(Findings!$L$5:$L$33,MATCH($B25,Findings!$A$5:$A$33,0))</f>
        <v>Observation</v>
      </c>
      <c r="F25" s="7" t="str">
        <f aca="false">INDEX(Findings!$N$5:$N$33,MATCH($B25,Findings!$A$5:$A$33,0))</f>
        <v>Not rated in source</v>
      </c>
      <c r="G25" s="7" t="s">
        <v>425</v>
      </c>
      <c r="H25" s="7" t="s">
        <v>132</v>
      </c>
      <c r="I25" s="7" t="s">
        <v>220</v>
      </c>
      <c r="J25" s="13" t="s">
        <v>331</v>
      </c>
      <c r="K25" s="7" t="s">
        <v>220</v>
      </c>
      <c r="L25" s="7"/>
      <c r="M25" s="7" t="s">
        <v>222</v>
      </c>
      <c r="N25" s="13" t="s">
        <v>521</v>
      </c>
      <c r="O25" s="7" t="s">
        <v>219</v>
      </c>
      <c r="P25" s="7" t="s">
        <v>224</v>
      </c>
    </row>
    <row r="26" customFormat="false" ht="23.85" hidden="false" customHeight="false" outlineLevel="0" collapsed="false">
      <c r="A26" s="13" t="s">
        <v>546</v>
      </c>
      <c r="B26" s="13" t="s">
        <v>426</v>
      </c>
      <c r="C26" s="13" t="s">
        <v>427</v>
      </c>
      <c r="D26" s="13" t="s">
        <v>428</v>
      </c>
      <c r="E26" s="7" t="str">
        <f aca="false">INDEX(Findings!$L$5:$L$33,MATCH($B26,Findings!$A$5:$A$33,0))</f>
        <v>Planning Gap</v>
      </c>
      <c r="F26" s="7" t="str">
        <f aca="false">INDEX(Findings!$N$5:$N$33,MATCH($B26,Findings!$A$5:$A$33,0))</f>
        <v>Not rated in source</v>
      </c>
      <c r="G26" s="7" t="s">
        <v>438</v>
      </c>
      <c r="H26" s="7" t="s">
        <v>132</v>
      </c>
      <c r="I26" s="7" t="s">
        <v>220</v>
      </c>
      <c r="J26" s="13" t="s">
        <v>331</v>
      </c>
      <c r="K26" s="7" t="s">
        <v>220</v>
      </c>
      <c r="L26" s="7"/>
      <c r="M26" s="7" t="s">
        <v>222</v>
      </c>
      <c r="N26" s="13" t="s">
        <v>521</v>
      </c>
      <c r="O26" s="7" t="s">
        <v>219</v>
      </c>
      <c r="P26" s="7" t="s">
        <v>224</v>
      </c>
    </row>
    <row r="27" customFormat="false" ht="23.85" hidden="false" customHeight="false" outlineLevel="0" collapsed="false">
      <c r="A27" s="13" t="s">
        <v>547</v>
      </c>
      <c r="B27" s="13" t="s">
        <v>441</v>
      </c>
      <c r="C27" s="13" t="s">
        <v>442</v>
      </c>
      <c r="D27" s="13" t="s">
        <v>428</v>
      </c>
      <c r="E27" s="7" t="str">
        <f aca="false">INDEX(Findings!$L$5:$L$33,MATCH($B27,Findings!$A$5:$A$33,0))</f>
        <v>Planning Gap</v>
      </c>
      <c r="F27" s="7" t="str">
        <f aca="false">INDEX(Findings!$N$5:$N$33,MATCH($B27,Findings!$A$5:$A$33,0))</f>
        <v>Not rated in source</v>
      </c>
      <c r="G27" s="7" t="s">
        <v>445</v>
      </c>
      <c r="H27" s="7" t="s">
        <v>132</v>
      </c>
      <c r="I27" s="7" t="s">
        <v>220</v>
      </c>
      <c r="J27" s="13" t="s">
        <v>331</v>
      </c>
      <c r="K27" s="7" t="s">
        <v>220</v>
      </c>
      <c r="L27" s="7"/>
      <c r="M27" s="7" t="s">
        <v>222</v>
      </c>
      <c r="N27" s="13" t="s">
        <v>521</v>
      </c>
      <c r="O27" s="7" t="s">
        <v>219</v>
      </c>
      <c r="P27" s="7" t="s">
        <v>224</v>
      </c>
    </row>
    <row r="28" customFormat="false" ht="23.85" hidden="false" customHeight="false" outlineLevel="0" collapsed="false">
      <c r="A28" s="13" t="s">
        <v>548</v>
      </c>
      <c r="B28" s="13" t="s">
        <v>446</v>
      </c>
      <c r="C28" s="13" t="s">
        <v>447</v>
      </c>
      <c r="D28" s="13" t="s">
        <v>428</v>
      </c>
      <c r="E28" s="7" t="str">
        <f aca="false">INDEX(Findings!$L$5:$L$33,MATCH($B28,Findings!$A$5:$A$33,0))</f>
        <v>Planning Gap</v>
      </c>
      <c r="F28" s="7" t="str">
        <f aca="false">INDEX(Findings!$N$5:$N$33,MATCH($B28,Findings!$A$5:$A$33,0))</f>
        <v>Not rated in source</v>
      </c>
      <c r="G28" s="7" t="s">
        <v>452</v>
      </c>
      <c r="H28" s="7" t="s">
        <v>451</v>
      </c>
      <c r="I28" s="7" t="s">
        <v>220</v>
      </c>
      <c r="J28" s="13" t="s">
        <v>331</v>
      </c>
      <c r="K28" s="7" t="s">
        <v>220</v>
      </c>
      <c r="L28" s="7"/>
      <c r="M28" s="7" t="s">
        <v>222</v>
      </c>
      <c r="N28" s="13" t="s">
        <v>521</v>
      </c>
      <c r="O28" s="7" t="s">
        <v>219</v>
      </c>
      <c r="P28" s="7" t="s">
        <v>224</v>
      </c>
    </row>
    <row r="29" customFormat="false" ht="23.85" hidden="false" customHeight="false" outlineLevel="0" collapsed="false">
      <c r="A29" s="13" t="s">
        <v>549</v>
      </c>
      <c r="B29" s="13" t="s">
        <v>453</v>
      </c>
      <c r="C29" s="13" t="s">
        <v>454</v>
      </c>
      <c r="D29" s="13" t="s">
        <v>428</v>
      </c>
      <c r="E29" s="7" t="str">
        <f aca="false">INDEX(Findings!$L$5:$L$33,MATCH($B29,Findings!$A$5:$A$33,0))</f>
        <v>Planning Gap</v>
      </c>
      <c r="F29" s="7" t="str">
        <f aca="false">INDEX(Findings!$N$5:$N$33,MATCH($B29,Findings!$A$5:$A$33,0))</f>
        <v>Not rated in source</v>
      </c>
      <c r="G29" s="7" t="s">
        <v>458</v>
      </c>
      <c r="H29" s="7" t="s">
        <v>132</v>
      </c>
      <c r="I29" s="7" t="s">
        <v>220</v>
      </c>
      <c r="J29" s="13" t="s">
        <v>331</v>
      </c>
      <c r="K29" s="7" t="s">
        <v>220</v>
      </c>
      <c r="L29" s="7"/>
      <c r="M29" s="7" t="s">
        <v>222</v>
      </c>
      <c r="N29" s="13" t="s">
        <v>521</v>
      </c>
      <c r="O29" s="7" t="s">
        <v>219</v>
      </c>
      <c r="P29" s="7" t="s">
        <v>224</v>
      </c>
    </row>
    <row r="30" customFormat="false" ht="57.45" hidden="false" customHeight="false" outlineLevel="0" collapsed="false">
      <c r="A30" s="13" t="s">
        <v>550</v>
      </c>
      <c r="B30" s="13" t="s">
        <v>459</v>
      </c>
      <c r="C30" s="13" t="s">
        <v>460</v>
      </c>
      <c r="D30" s="13" t="s">
        <v>461</v>
      </c>
      <c r="E30" s="7" t="str">
        <f aca="false">INDEX(Findings!$L$5:$L$33,MATCH($B30,Findings!$A$5:$A$33,0))</f>
        <v>Confirmed Finding (Simulated)</v>
      </c>
      <c r="F30" s="7" t="str">
        <f aca="false">INDEX(Findings!$N$5:$N$33,MATCH($B30,Findings!$A$5:$A$33,0))</f>
        <v>High</v>
      </c>
      <c r="G30" s="7" t="s">
        <v>470</v>
      </c>
      <c r="H30" s="7" t="s">
        <v>469</v>
      </c>
      <c r="I30" s="7" t="s">
        <v>270</v>
      </c>
      <c r="J30" s="13" t="s">
        <v>270</v>
      </c>
      <c r="K30" s="7" t="s">
        <v>300</v>
      </c>
      <c r="L30" s="17" t="n">
        <v>46356</v>
      </c>
      <c r="M30" s="7" t="s">
        <v>472</v>
      </c>
      <c r="N30" s="13" t="s">
        <v>521</v>
      </c>
      <c r="O30" s="7" t="s">
        <v>219</v>
      </c>
      <c r="P30" s="7" t="s">
        <v>224</v>
      </c>
    </row>
    <row r="31" customFormat="false" ht="46.25" hidden="false" customHeight="false" outlineLevel="0" collapsed="false">
      <c r="A31" s="13" t="s">
        <v>551</v>
      </c>
      <c r="B31" s="13" t="s">
        <v>474</v>
      </c>
      <c r="C31" s="13" t="s">
        <v>475</v>
      </c>
      <c r="D31" s="13" t="s">
        <v>461</v>
      </c>
      <c r="E31" s="7" t="str">
        <f aca="false">INDEX(Findings!$L$5:$L$33,MATCH($B31,Findings!$A$5:$A$33,0))</f>
        <v>Confirmed Finding (Simulated)</v>
      </c>
      <c r="F31" s="7" t="str">
        <f aca="false">INDEX(Findings!$N$5:$N$33,MATCH($B31,Findings!$A$5:$A$33,0))</f>
        <v>Medium</v>
      </c>
      <c r="G31" s="7" t="s">
        <v>479</v>
      </c>
      <c r="H31" s="7" t="s">
        <v>478</v>
      </c>
      <c r="I31" s="7" t="s">
        <v>270</v>
      </c>
      <c r="J31" s="13" t="s">
        <v>270</v>
      </c>
      <c r="K31" s="7" t="s">
        <v>345</v>
      </c>
      <c r="L31" s="17" t="n">
        <v>46387</v>
      </c>
      <c r="M31" s="7" t="s">
        <v>481</v>
      </c>
      <c r="N31" s="13" t="s">
        <v>521</v>
      </c>
      <c r="O31" s="7" t="s">
        <v>219</v>
      </c>
      <c r="P31" s="7" t="s">
        <v>224</v>
      </c>
    </row>
    <row r="32" customFormat="false" ht="35.05" hidden="false" customHeight="false" outlineLevel="0" collapsed="false">
      <c r="A32" s="13" t="s">
        <v>552</v>
      </c>
      <c r="B32" s="13" t="s">
        <v>483</v>
      </c>
      <c r="C32" s="13" t="s">
        <v>484</v>
      </c>
      <c r="D32" s="13" t="s">
        <v>461</v>
      </c>
      <c r="E32" s="7" t="str">
        <f aca="false">INDEX(Findings!$L$5:$L$33,MATCH($B32,Findings!$A$5:$A$33,0))</f>
        <v>Confirmed Finding (Simulated)</v>
      </c>
      <c r="F32" s="7" t="str">
        <f aca="false">INDEX(Findings!$N$5:$N$33,MATCH($B32,Findings!$A$5:$A$33,0))</f>
        <v>Medium</v>
      </c>
      <c r="G32" s="7" t="s">
        <v>488</v>
      </c>
      <c r="H32" s="7" t="s">
        <v>487</v>
      </c>
      <c r="I32" s="7" t="s">
        <v>270</v>
      </c>
      <c r="J32" s="13" t="s">
        <v>270</v>
      </c>
      <c r="K32" s="7" t="s">
        <v>345</v>
      </c>
      <c r="L32" s="17" t="n">
        <v>46387</v>
      </c>
      <c r="M32" s="7" t="s">
        <v>490</v>
      </c>
      <c r="N32" s="13" t="s">
        <v>521</v>
      </c>
      <c r="O32" s="7" t="s">
        <v>219</v>
      </c>
      <c r="P32" s="7" t="s">
        <v>224</v>
      </c>
    </row>
    <row r="33" customFormat="false" ht="23.85" hidden="false" customHeight="false" outlineLevel="0" collapsed="false">
      <c r="A33" s="13" t="s">
        <v>553</v>
      </c>
      <c r="B33" s="13" t="s">
        <v>492</v>
      </c>
      <c r="C33" s="13" t="s">
        <v>493</v>
      </c>
      <c r="D33" s="13" t="s">
        <v>461</v>
      </c>
      <c r="E33" s="7" t="str">
        <f aca="false">INDEX(Findings!$L$5:$L$33,MATCH($B33,Findings!$A$5:$A$33,0))</f>
        <v>Observation</v>
      </c>
      <c r="F33" s="7" t="str">
        <f aca="false">INDEX(Findings!$N$5:$N$33,MATCH($B33,Findings!$A$5:$A$33,0))</f>
        <v>Low (Observation)</v>
      </c>
      <c r="G33" s="7" t="s">
        <v>496</v>
      </c>
      <c r="H33" s="7" t="s">
        <v>130</v>
      </c>
      <c r="I33" s="7" t="s">
        <v>270</v>
      </c>
      <c r="J33" s="13" t="s">
        <v>270</v>
      </c>
      <c r="K33" s="7" t="s">
        <v>361</v>
      </c>
      <c r="L33" s="7"/>
      <c r="M33" s="7" t="s">
        <v>498</v>
      </c>
      <c r="N33" s="13" t="s">
        <v>521</v>
      </c>
      <c r="O33" s="7" t="s">
        <v>219</v>
      </c>
      <c r="P33" s="7" t="s">
        <v>224</v>
      </c>
    </row>
    <row r="34" customFormat="false" ht="35.05" hidden="false" customHeight="false" outlineLevel="0" collapsed="false">
      <c r="A34" s="13" t="s">
        <v>554</v>
      </c>
      <c r="B34" s="13" t="s">
        <v>500</v>
      </c>
      <c r="C34" s="13" t="s">
        <v>321</v>
      </c>
      <c r="D34" s="13" t="s">
        <v>461</v>
      </c>
      <c r="E34" s="7" t="str">
        <f aca="false">INDEX(Findings!$L$5:$L$33,MATCH($B34,Findings!$A$5:$A$33,0))</f>
        <v>Observation</v>
      </c>
      <c r="F34" s="7" t="str">
        <f aca="false">INDEX(Findings!$N$5:$N$33,MATCH($B34,Findings!$A$5:$A$33,0))</f>
        <v>Not rated in source</v>
      </c>
      <c r="G34" s="7" t="s">
        <v>507</v>
      </c>
      <c r="H34" s="7" t="s">
        <v>506</v>
      </c>
      <c r="I34" s="7" t="s">
        <v>220</v>
      </c>
      <c r="J34" s="13" t="s">
        <v>331</v>
      </c>
      <c r="K34" s="7" t="s">
        <v>220</v>
      </c>
      <c r="L34" s="7"/>
      <c r="M34" s="7" t="s">
        <v>222</v>
      </c>
      <c r="N34" s="13" t="s">
        <v>521</v>
      </c>
      <c r="O34" s="7" t="s">
        <v>219</v>
      </c>
      <c r="P34" s="7" t="s">
        <v>224</v>
      </c>
    </row>
  </sheetData>
  <autoFilter ref="A4:P34"/>
  <mergeCells count="1">
    <mergeCell ref="A2:H2"/>
  </mergeCells>
  <conditionalFormatting sqref="A5:P34">
    <cfRule type="expression" priority="2" aboveAverage="0" equalAverage="0" bottom="0" percent="0" rank="0" text="" dxfId="10">
      <formula>MOD(ROW(),2)=1</formula>
    </cfRule>
  </conditionalFormatting>
  <conditionalFormatting sqref="E5:E34">
    <cfRule type="expression" priority="3" aboveAverage="0" equalAverage="0" bottom="0" percent="0" rank="0" text="" dxfId="18">
      <formula>$E5="Confirmed Finding (Simulated)"</formula>
    </cfRule>
    <cfRule type="expression" priority="4" aboveAverage="0" equalAverage="0" bottom="0" percent="0" rank="0" text="" dxfId="12">
      <formula>$E5="Observation"</formula>
    </cfRule>
    <cfRule type="expression" priority="5" aboveAverage="0" equalAverage="0" bottom="0" percent="0" rank="0" text="" dxfId="13">
      <formula>$E5="Planning Gap"</formula>
    </cfRule>
  </conditionalFormatting>
  <conditionalFormatting sqref="O5:O34">
    <cfRule type="expression" priority="6" aboveAverage="0" equalAverage="0" bottom="0" percent="0" rank="0" text="" dxfId="17">
      <formula>LEFT($O5,13)="Not performed"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62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44"/>
    <col collapsed="false" customWidth="true" hidden="false" outlineLevel="0" max="12" min="12" style="0" width="16"/>
    <col collapsed="false" customWidth="true" hidden="false" outlineLevel="0" max="14" min="13" style="0" width="22"/>
  </cols>
  <sheetData>
    <row r="1" customFormat="false" ht="19.7" hidden="false" customHeight="false" outlineLevel="0" collapsed="false">
      <c r="A1" s="1" t="s">
        <v>51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555</v>
      </c>
    </row>
    <row r="4" customFormat="false" ht="42" hidden="false" customHeight="true" outlineLevel="0" collapsed="false">
      <c r="A4" s="12" t="s">
        <v>556</v>
      </c>
      <c r="B4" s="12" t="s">
        <v>557</v>
      </c>
      <c r="C4" s="12" t="s">
        <v>179</v>
      </c>
      <c r="D4" s="12" t="s">
        <v>181</v>
      </c>
      <c r="E4" s="12" t="s">
        <v>182</v>
      </c>
      <c r="F4" s="12" t="s">
        <v>558</v>
      </c>
      <c r="G4" s="12" t="s">
        <v>559</v>
      </c>
      <c r="H4" s="12" t="s">
        <v>560</v>
      </c>
      <c r="I4" s="12" t="s">
        <v>561</v>
      </c>
      <c r="J4" s="12" t="s">
        <v>562</v>
      </c>
      <c r="K4" s="12" t="s">
        <v>563</v>
      </c>
      <c r="L4" s="12" t="s">
        <v>564</v>
      </c>
      <c r="M4" s="12" t="s">
        <v>565</v>
      </c>
      <c r="N4" s="12" t="s">
        <v>202</v>
      </c>
    </row>
    <row r="5" customFormat="false" ht="23.85" hidden="false" customHeight="false" outlineLevel="0" collapsed="false">
      <c r="A5" s="13" t="s">
        <v>566</v>
      </c>
      <c r="B5" s="13" t="s">
        <v>321</v>
      </c>
      <c r="C5" s="13" t="s">
        <v>205</v>
      </c>
      <c r="D5" s="13" t="s">
        <v>567</v>
      </c>
      <c r="E5" s="7" t="s">
        <v>568</v>
      </c>
      <c r="F5" s="7" t="s">
        <v>569</v>
      </c>
      <c r="G5" s="7" t="s">
        <v>570</v>
      </c>
      <c r="H5" s="7" t="s">
        <v>132</v>
      </c>
      <c r="I5" s="7" t="s">
        <v>220</v>
      </c>
      <c r="J5" s="7" t="s">
        <v>571</v>
      </c>
      <c r="K5" s="7" t="s">
        <v>572</v>
      </c>
      <c r="L5" s="13" t="s">
        <v>573</v>
      </c>
      <c r="M5" s="13" t="s">
        <v>574</v>
      </c>
      <c r="N5" s="7" t="s">
        <v>224</v>
      </c>
    </row>
    <row r="6" customFormat="false" ht="23.85" hidden="false" customHeight="false" outlineLevel="0" collapsed="false">
      <c r="A6" s="13" t="s">
        <v>575</v>
      </c>
      <c r="B6" s="13" t="s">
        <v>321</v>
      </c>
      <c r="C6" s="13" t="s">
        <v>205</v>
      </c>
      <c r="D6" s="13" t="s">
        <v>567</v>
      </c>
      <c r="E6" s="7" t="s">
        <v>568</v>
      </c>
      <c r="F6" s="7" t="s">
        <v>576</v>
      </c>
      <c r="G6" s="7" t="s">
        <v>570</v>
      </c>
      <c r="H6" s="7" t="s">
        <v>132</v>
      </c>
      <c r="I6" s="7" t="s">
        <v>220</v>
      </c>
      <c r="J6" s="7" t="s">
        <v>571</v>
      </c>
      <c r="K6" s="7" t="s">
        <v>572</v>
      </c>
      <c r="L6" s="13" t="s">
        <v>573</v>
      </c>
      <c r="M6" s="13" t="s">
        <v>574</v>
      </c>
      <c r="N6" s="7" t="s">
        <v>224</v>
      </c>
    </row>
    <row r="7" customFormat="false" ht="23.85" hidden="false" customHeight="false" outlineLevel="0" collapsed="false">
      <c r="A7" s="13" t="s">
        <v>577</v>
      </c>
      <c r="B7" s="13" t="s">
        <v>321</v>
      </c>
      <c r="C7" s="13" t="s">
        <v>205</v>
      </c>
      <c r="D7" s="13" t="s">
        <v>567</v>
      </c>
      <c r="E7" s="7" t="s">
        <v>568</v>
      </c>
      <c r="F7" s="7" t="s">
        <v>578</v>
      </c>
      <c r="G7" s="7" t="s">
        <v>570</v>
      </c>
      <c r="H7" s="7" t="s">
        <v>132</v>
      </c>
      <c r="I7" s="7" t="s">
        <v>220</v>
      </c>
      <c r="J7" s="7" t="s">
        <v>571</v>
      </c>
      <c r="K7" s="7" t="s">
        <v>572</v>
      </c>
      <c r="L7" s="13" t="s">
        <v>573</v>
      </c>
      <c r="M7" s="13" t="s">
        <v>574</v>
      </c>
      <c r="N7" s="7" t="s">
        <v>224</v>
      </c>
    </row>
    <row r="8" customFormat="false" ht="23.85" hidden="false" customHeight="false" outlineLevel="0" collapsed="false">
      <c r="A8" s="13" t="s">
        <v>579</v>
      </c>
      <c r="B8" s="13" t="s">
        <v>321</v>
      </c>
      <c r="C8" s="13" t="s">
        <v>205</v>
      </c>
      <c r="D8" s="13" t="s">
        <v>567</v>
      </c>
      <c r="E8" s="7" t="s">
        <v>568</v>
      </c>
      <c r="F8" s="7" t="s">
        <v>580</v>
      </c>
      <c r="G8" s="7" t="s">
        <v>570</v>
      </c>
      <c r="H8" s="7" t="s">
        <v>132</v>
      </c>
      <c r="I8" s="7" t="s">
        <v>220</v>
      </c>
      <c r="J8" s="7" t="s">
        <v>571</v>
      </c>
      <c r="K8" s="7" t="s">
        <v>572</v>
      </c>
      <c r="L8" s="13" t="s">
        <v>573</v>
      </c>
      <c r="M8" s="13" t="s">
        <v>574</v>
      </c>
      <c r="N8" s="7" t="s">
        <v>224</v>
      </c>
    </row>
    <row r="9" customFormat="false" ht="23.85" hidden="false" customHeight="false" outlineLevel="0" collapsed="false">
      <c r="A9" s="13" t="s">
        <v>581</v>
      </c>
      <c r="B9" s="13" t="s">
        <v>321</v>
      </c>
      <c r="C9" s="13" t="s">
        <v>205</v>
      </c>
      <c r="D9" s="13" t="s">
        <v>567</v>
      </c>
      <c r="E9" s="7" t="s">
        <v>568</v>
      </c>
      <c r="F9" s="7" t="s">
        <v>582</v>
      </c>
      <c r="G9" s="7" t="s">
        <v>570</v>
      </c>
      <c r="H9" s="7" t="s">
        <v>132</v>
      </c>
      <c r="I9" s="7" t="s">
        <v>220</v>
      </c>
      <c r="J9" s="7" t="s">
        <v>571</v>
      </c>
      <c r="K9" s="7" t="s">
        <v>572</v>
      </c>
      <c r="L9" s="13" t="s">
        <v>573</v>
      </c>
      <c r="M9" s="13" t="s">
        <v>574</v>
      </c>
      <c r="N9" s="7" t="s">
        <v>224</v>
      </c>
    </row>
    <row r="10" customFormat="false" ht="23.85" hidden="false" customHeight="false" outlineLevel="0" collapsed="false">
      <c r="A10" s="13" t="s">
        <v>583</v>
      </c>
      <c r="B10" s="13" t="s">
        <v>321</v>
      </c>
      <c r="C10" s="13" t="s">
        <v>227</v>
      </c>
      <c r="D10" s="13" t="s">
        <v>584</v>
      </c>
      <c r="E10" s="7" t="s">
        <v>585</v>
      </c>
      <c r="F10" s="7" t="s">
        <v>586</v>
      </c>
      <c r="G10" s="7" t="s">
        <v>570</v>
      </c>
      <c r="H10" s="7" t="s">
        <v>132</v>
      </c>
      <c r="I10" s="7" t="s">
        <v>220</v>
      </c>
      <c r="J10" s="7" t="s">
        <v>571</v>
      </c>
      <c r="K10" s="7" t="s">
        <v>572</v>
      </c>
      <c r="L10" s="13" t="s">
        <v>573</v>
      </c>
      <c r="M10" s="13" t="s">
        <v>574</v>
      </c>
      <c r="N10" s="7" t="s">
        <v>224</v>
      </c>
    </row>
    <row r="11" customFormat="false" ht="23.85" hidden="false" customHeight="false" outlineLevel="0" collapsed="false">
      <c r="A11" s="13" t="s">
        <v>587</v>
      </c>
      <c r="B11" s="13" t="s">
        <v>321</v>
      </c>
      <c r="C11" s="13" t="s">
        <v>227</v>
      </c>
      <c r="D11" s="13" t="s">
        <v>584</v>
      </c>
      <c r="E11" s="7" t="s">
        <v>585</v>
      </c>
      <c r="F11" s="7" t="s">
        <v>588</v>
      </c>
      <c r="G11" s="7" t="s">
        <v>570</v>
      </c>
      <c r="H11" s="7" t="s">
        <v>132</v>
      </c>
      <c r="I11" s="7" t="s">
        <v>220</v>
      </c>
      <c r="J11" s="7" t="s">
        <v>571</v>
      </c>
      <c r="K11" s="7" t="s">
        <v>572</v>
      </c>
      <c r="L11" s="13" t="s">
        <v>573</v>
      </c>
      <c r="M11" s="13" t="s">
        <v>574</v>
      </c>
      <c r="N11" s="7" t="s">
        <v>224</v>
      </c>
    </row>
    <row r="12" customFormat="false" ht="23.85" hidden="false" customHeight="false" outlineLevel="0" collapsed="false">
      <c r="A12" s="13" t="s">
        <v>589</v>
      </c>
      <c r="B12" s="13" t="s">
        <v>321</v>
      </c>
      <c r="C12" s="13" t="s">
        <v>227</v>
      </c>
      <c r="D12" s="13" t="s">
        <v>584</v>
      </c>
      <c r="E12" s="7" t="s">
        <v>585</v>
      </c>
      <c r="F12" s="7" t="s">
        <v>590</v>
      </c>
      <c r="G12" s="7" t="s">
        <v>570</v>
      </c>
      <c r="H12" s="7" t="s">
        <v>132</v>
      </c>
      <c r="I12" s="7" t="s">
        <v>220</v>
      </c>
      <c r="J12" s="7" t="s">
        <v>571</v>
      </c>
      <c r="K12" s="7" t="s">
        <v>572</v>
      </c>
      <c r="L12" s="13" t="s">
        <v>573</v>
      </c>
      <c r="M12" s="13" t="s">
        <v>574</v>
      </c>
      <c r="N12" s="7" t="s">
        <v>224</v>
      </c>
    </row>
    <row r="13" customFormat="false" ht="23.85" hidden="false" customHeight="false" outlineLevel="0" collapsed="false">
      <c r="A13" s="13" t="s">
        <v>591</v>
      </c>
      <c r="B13" s="13" t="s">
        <v>321</v>
      </c>
      <c r="C13" s="13" t="s">
        <v>227</v>
      </c>
      <c r="D13" s="13" t="s">
        <v>584</v>
      </c>
      <c r="E13" s="7" t="s">
        <v>585</v>
      </c>
      <c r="F13" s="7" t="s">
        <v>592</v>
      </c>
      <c r="G13" s="7" t="s">
        <v>570</v>
      </c>
      <c r="H13" s="7" t="s">
        <v>132</v>
      </c>
      <c r="I13" s="7" t="s">
        <v>220</v>
      </c>
      <c r="J13" s="7" t="s">
        <v>571</v>
      </c>
      <c r="K13" s="7" t="s">
        <v>572</v>
      </c>
      <c r="L13" s="13" t="s">
        <v>573</v>
      </c>
      <c r="M13" s="13" t="s">
        <v>574</v>
      </c>
      <c r="N13" s="7" t="s">
        <v>224</v>
      </c>
    </row>
    <row r="14" customFormat="false" ht="23.85" hidden="false" customHeight="false" outlineLevel="0" collapsed="false">
      <c r="A14" s="13" t="s">
        <v>593</v>
      </c>
      <c r="B14" s="13" t="s">
        <v>321</v>
      </c>
      <c r="C14" s="13" t="s">
        <v>227</v>
      </c>
      <c r="D14" s="13" t="s">
        <v>584</v>
      </c>
      <c r="E14" s="7" t="s">
        <v>585</v>
      </c>
      <c r="F14" s="7" t="s">
        <v>594</v>
      </c>
      <c r="G14" s="7" t="s">
        <v>570</v>
      </c>
      <c r="H14" s="7" t="s">
        <v>132</v>
      </c>
      <c r="I14" s="7" t="s">
        <v>220</v>
      </c>
      <c r="J14" s="7" t="s">
        <v>571</v>
      </c>
      <c r="K14" s="7" t="s">
        <v>572</v>
      </c>
      <c r="L14" s="13" t="s">
        <v>573</v>
      </c>
      <c r="M14" s="13" t="s">
        <v>574</v>
      </c>
      <c r="N14" s="7" t="s">
        <v>224</v>
      </c>
    </row>
    <row r="15" customFormat="false" ht="23.85" hidden="false" customHeight="false" outlineLevel="0" collapsed="false">
      <c r="A15" s="13" t="s">
        <v>595</v>
      </c>
      <c r="B15" s="13" t="s">
        <v>321</v>
      </c>
      <c r="C15" s="13" t="s">
        <v>227</v>
      </c>
      <c r="D15" s="13" t="s">
        <v>584</v>
      </c>
      <c r="E15" s="7" t="s">
        <v>585</v>
      </c>
      <c r="F15" s="7" t="s">
        <v>596</v>
      </c>
      <c r="G15" s="7" t="s">
        <v>570</v>
      </c>
      <c r="H15" s="7" t="s">
        <v>132</v>
      </c>
      <c r="I15" s="7" t="s">
        <v>220</v>
      </c>
      <c r="J15" s="7" t="s">
        <v>571</v>
      </c>
      <c r="K15" s="7" t="s">
        <v>572</v>
      </c>
      <c r="L15" s="13" t="s">
        <v>573</v>
      </c>
      <c r="M15" s="13" t="s">
        <v>574</v>
      </c>
      <c r="N15" s="7" t="s">
        <v>224</v>
      </c>
    </row>
    <row r="16" customFormat="false" ht="23.85" hidden="false" customHeight="false" outlineLevel="0" collapsed="false">
      <c r="A16" s="13" t="s">
        <v>597</v>
      </c>
      <c r="B16" s="13" t="s">
        <v>321</v>
      </c>
      <c r="C16" s="13" t="s">
        <v>259</v>
      </c>
      <c r="D16" s="13" t="s">
        <v>584</v>
      </c>
      <c r="E16" s="7" t="s">
        <v>598</v>
      </c>
      <c r="F16" s="7" t="s">
        <v>599</v>
      </c>
      <c r="G16" s="7" t="s">
        <v>570</v>
      </c>
      <c r="H16" s="7" t="s">
        <v>132</v>
      </c>
      <c r="I16" s="7" t="s">
        <v>220</v>
      </c>
      <c r="J16" s="7" t="s">
        <v>571</v>
      </c>
      <c r="K16" s="7" t="s">
        <v>572</v>
      </c>
      <c r="L16" s="13" t="s">
        <v>573</v>
      </c>
      <c r="M16" s="13" t="s">
        <v>574</v>
      </c>
      <c r="N16" s="7" t="s">
        <v>224</v>
      </c>
    </row>
    <row r="17" customFormat="false" ht="23.85" hidden="false" customHeight="false" outlineLevel="0" collapsed="false">
      <c r="A17" s="13" t="s">
        <v>600</v>
      </c>
      <c r="B17" s="13" t="s">
        <v>321</v>
      </c>
      <c r="C17" s="13" t="s">
        <v>259</v>
      </c>
      <c r="D17" s="13" t="s">
        <v>584</v>
      </c>
      <c r="E17" s="7" t="s">
        <v>598</v>
      </c>
      <c r="F17" s="7" t="s">
        <v>601</v>
      </c>
      <c r="G17" s="7" t="s">
        <v>570</v>
      </c>
      <c r="H17" s="7" t="s">
        <v>132</v>
      </c>
      <c r="I17" s="7" t="s">
        <v>220</v>
      </c>
      <c r="J17" s="7" t="s">
        <v>571</v>
      </c>
      <c r="K17" s="7" t="s">
        <v>572</v>
      </c>
      <c r="L17" s="13" t="s">
        <v>573</v>
      </c>
      <c r="M17" s="13" t="s">
        <v>574</v>
      </c>
      <c r="N17" s="7" t="s">
        <v>224</v>
      </c>
    </row>
    <row r="18" customFormat="false" ht="23.85" hidden="false" customHeight="false" outlineLevel="0" collapsed="false">
      <c r="A18" s="13" t="s">
        <v>602</v>
      </c>
      <c r="B18" s="13" t="s">
        <v>321</v>
      </c>
      <c r="C18" s="13" t="s">
        <v>259</v>
      </c>
      <c r="D18" s="13" t="s">
        <v>584</v>
      </c>
      <c r="E18" s="7" t="s">
        <v>598</v>
      </c>
      <c r="F18" s="7" t="s">
        <v>603</v>
      </c>
      <c r="G18" s="7" t="s">
        <v>570</v>
      </c>
      <c r="H18" s="7" t="s">
        <v>132</v>
      </c>
      <c r="I18" s="7" t="s">
        <v>220</v>
      </c>
      <c r="J18" s="7" t="s">
        <v>571</v>
      </c>
      <c r="K18" s="7" t="s">
        <v>572</v>
      </c>
      <c r="L18" s="13" t="s">
        <v>573</v>
      </c>
      <c r="M18" s="13" t="s">
        <v>574</v>
      </c>
      <c r="N18" s="7" t="s">
        <v>224</v>
      </c>
    </row>
    <row r="19" customFormat="false" ht="23.85" hidden="false" customHeight="false" outlineLevel="0" collapsed="false">
      <c r="A19" s="13" t="s">
        <v>604</v>
      </c>
      <c r="B19" s="13" t="s">
        <v>321</v>
      </c>
      <c r="C19" s="13" t="s">
        <v>259</v>
      </c>
      <c r="D19" s="13" t="s">
        <v>584</v>
      </c>
      <c r="E19" s="7" t="s">
        <v>598</v>
      </c>
      <c r="F19" s="7" t="s">
        <v>605</v>
      </c>
      <c r="G19" s="7" t="s">
        <v>570</v>
      </c>
      <c r="H19" s="7" t="s">
        <v>132</v>
      </c>
      <c r="I19" s="7" t="s">
        <v>220</v>
      </c>
      <c r="J19" s="7" t="s">
        <v>571</v>
      </c>
      <c r="K19" s="7" t="s">
        <v>572</v>
      </c>
      <c r="L19" s="13" t="s">
        <v>573</v>
      </c>
      <c r="M19" s="13" t="s">
        <v>574</v>
      </c>
      <c r="N19" s="7" t="s">
        <v>224</v>
      </c>
    </row>
    <row r="20" customFormat="false" ht="23.85" hidden="false" customHeight="false" outlineLevel="0" collapsed="false">
      <c r="A20" s="13" t="s">
        <v>606</v>
      </c>
      <c r="B20" s="13" t="s">
        <v>321</v>
      </c>
      <c r="C20" s="13" t="s">
        <v>259</v>
      </c>
      <c r="D20" s="13" t="s">
        <v>584</v>
      </c>
      <c r="E20" s="7" t="s">
        <v>598</v>
      </c>
      <c r="F20" s="7" t="s">
        <v>607</v>
      </c>
      <c r="G20" s="7" t="s">
        <v>570</v>
      </c>
      <c r="H20" s="7" t="s">
        <v>132</v>
      </c>
      <c r="I20" s="7" t="s">
        <v>220</v>
      </c>
      <c r="J20" s="7" t="s">
        <v>571</v>
      </c>
      <c r="K20" s="7" t="s">
        <v>572</v>
      </c>
      <c r="L20" s="13" t="s">
        <v>573</v>
      </c>
      <c r="M20" s="13" t="s">
        <v>574</v>
      </c>
      <c r="N20" s="7" t="s">
        <v>224</v>
      </c>
    </row>
    <row r="21" customFormat="false" ht="23.85" hidden="false" customHeight="false" outlineLevel="0" collapsed="false">
      <c r="A21" s="13" t="s">
        <v>608</v>
      </c>
      <c r="B21" s="13" t="s">
        <v>321</v>
      </c>
      <c r="C21" s="13" t="s">
        <v>259</v>
      </c>
      <c r="D21" s="13" t="s">
        <v>584</v>
      </c>
      <c r="E21" s="7" t="s">
        <v>598</v>
      </c>
      <c r="F21" s="7" t="s">
        <v>609</v>
      </c>
      <c r="G21" s="7" t="s">
        <v>570</v>
      </c>
      <c r="H21" s="7" t="s">
        <v>132</v>
      </c>
      <c r="I21" s="7" t="s">
        <v>220</v>
      </c>
      <c r="J21" s="7" t="s">
        <v>571</v>
      </c>
      <c r="K21" s="7" t="s">
        <v>572</v>
      </c>
      <c r="L21" s="13" t="s">
        <v>573</v>
      </c>
      <c r="M21" s="13" t="s">
        <v>574</v>
      </c>
      <c r="N21" s="7" t="s">
        <v>224</v>
      </c>
    </row>
    <row r="22" customFormat="false" ht="23.85" hidden="false" customHeight="false" outlineLevel="0" collapsed="false">
      <c r="A22" s="13" t="s">
        <v>610</v>
      </c>
      <c r="B22" s="13" t="s">
        <v>321</v>
      </c>
      <c r="C22" s="13" t="s">
        <v>259</v>
      </c>
      <c r="D22" s="13" t="s">
        <v>584</v>
      </c>
      <c r="E22" s="7" t="s">
        <v>598</v>
      </c>
      <c r="F22" s="7" t="s">
        <v>611</v>
      </c>
      <c r="G22" s="7" t="s">
        <v>570</v>
      </c>
      <c r="H22" s="7" t="s">
        <v>132</v>
      </c>
      <c r="I22" s="7" t="s">
        <v>220</v>
      </c>
      <c r="J22" s="7" t="s">
        <v>571</v>
      </c>
      <c r="K22" s="7" t="s">
        <v>572</v>
      </c>
      <c r="L22" s="13" t="s">
        <v>573</v>
      </c>
      <c r="M22" s="13" t="s">
        <v>574</v>
      </c>
      <c r="N22" s="7" t="s">
        <v>224</v>
      </c>
    </row>
    <row r="23" customFormat="false" ht="23.85" hidden="false" customHeight="false" outlineLevel="0" collapsed="false">
      <c r="A23" s="13" t="s">
        <v>612</v>
      </c>
      <c r="B23" s="13" t="s">
        <v>321</v>
      </c>
      <c r="C23" s="13" t="s">
        <v>274</v>
      </c>
      <c r="D23" s="13" t="s">
        <v>430</v>
      </c>
      <c r="E23" s="7" t="s">
        <v>613</v>
      </c>
      <c r="F23" s="7" t="s">
        <v>614</v>
      </c>
      <c r="G23" s="7" t="s">
        <v>570</v>
      </c>
      <c r="H23" s="7" t="s">
        <v>132</v>
      </c>
      <c r="I23" s="7" t="s">
        <v>220</v>
      </c>
      <c r="J23" s="7" t="s">
        <v>571</v>
      </c>
      <c r="K23" s="7" t="s">
        <v>572</v>
      </c>
      <c r="L23" s="13" t="s">
        <v>573</v>
      </c>
      <c r="M23" s="13" t="s">
        <v>574</v>
      </c>
      <c r="N23" s="7" t="s">
        <v>224</v>
      </c>
    </row>
    <row r="24" customFormat="false" ht="23.85" hidden="false" customHeight="false" outlineLevel="0" collapsed="false">
      <c r="A24" s="13" t="s">
        <v>615</v>
      </c>
      <c r="B24" s="13" t="s">
        <v>321</v>
      </c>
      <c r="C24" s="13" t="s">
        <v>274</v>
      </c>
      <c r="D24" s="13" t="s">
        <v>430</v>
      </c>
      <c r="E24" s="7" t="s">
        <v>613</v>
      </c>
      <c r="F24" s="7" t="s">
        <v>616</v>
      </c>
      <c r="G24" s="7" t="s">
        <v>570</v>
      </c>
      <c r="H24" s="7" t="s">
        <v>132</v>
      </c>
      <c r="I24" s="7" t="s">
        <v>220</v>
      </c>
      <c r="J24" s="7" t="s">
        <v>571</v>
      </c>
      <c r="K24" s="7" t="s">
        <v>572</v>
      </c>
      <c r="L24" s="13" t="s">
        <v>573</v>
      </c>
      <c r="M24" s="13" t="s">
        <v>574</v>
      </c>
      <c r="N24" s="7" t="s">
        <v>224</v>
      </c>
    </row>
    <row r="25" customFormat="false" ht="23.85" hidden="false" customHeight="false" outlineLevel="0" collapsed="false">
      <c r="A25" s="13" t="s">
        <v>617</v>
      </c>
      <c r="B25" s="13" t="s">
        <v>321</v>
      </c>
      <c r="C25" s="13" t="s">
        <v>274</v>
      </c>
      <c r="D25" s="13" t="s">
        <v>430</v>
      </c>
      <c r="E25" s="7" t="s">
        <v>613</v>
      </c>
      <c r="F25" s="7" t="s">
        <v>618</v>
      </c>
      <c r="G25" s="7" t="s">
        <v>570</v>
      </c>
      <c r="H25" s="7" t="s">
        <v>132</v>
      </c>
      <c r="I25" s="7" t="s">
        <v>220</v>
      </c>
      <c r="J25" s="7" t="s">
        <v>571</v>
      </c>
      <c r="K25" s="7" t="s">
        <v>572</v>
      </c>
      <c r="L25" s="13" t="s">
        <v>573</v>
      </c>
      <c r="M25" s="13" t="s">
        <v>574</v>
      </c>
      <c r="N25" s="7" t="s">
        <v>224</v>
      </c>
    </row>
    <row r="26" customFormat="false" ht="23.85" hidden="false" customHeight="false" outlineLevel="0" collapsed="false">
      <c r="A26" s="13" t="s">
        <v>619</v>
      </c>
      <c r="B26" s="13" t="s">
        <v>321</v>
      </c>
      <c r="C26" s="13" t="s">
        <v>274</v>
      </c>
      <c r="D26" s="13" t="s">
        <v>430</v>
      </c>
      <c r="E26" s="7" t="s">
        <v>613</v>
      </c>
      <c r="F26" s="7" t="s">
        <v>620</v>
      </c>
      <c r="G26" s="7" t="s">
        <v>570</v>
      </c>
      <c r="H26" s="7" t="s">
        <v>132</v>
      </c>
      <c r="I26" s="7" t="s">
        <v>220</v>
      </c>
      <c r="J26" s="7" t="s">
        <v>571</v>
      </c>
      <c r="K26" s="7" t="s">
        <v>572</v>
      </c>
      <c r="L26" s="13" t="s">
        <v>573</v>
      </c>
      <c r="M26" s="13" t="s">
        <v>574</v>
      </c>
      <c r="N26" s="7" t="s">
        <v>224</v>
      </c>
    </row>
    <row r="27" customFormat="false" ht="23.85" hidden="false" customHeight="false" outlineLevel="0" collapsed="false">
      <c r="A27" s="13" t="s">
        <v>621</v>
      </c>
      <c r="B27" s="13" t="s">
        <v>321</v>
      </c>
      <c r="C27" s="13" t="s">
        <v>274</v>
      </c>
      <c r="D27" s="13" t="s">
        <v>430</v>
      </c>
      <c r="E27" s="7" t="s">
        <v>613</v>
      </c>
      <c r="F27" s="7" t="s">
        <v>622</v>
      </c>
      <c r="G27" s="7" t="s">
        <v>570</v>
      </c>
      <c r="H27" s="7" t="s">
        <v>132</v>
      </c>
      <c r="I27" s="7" t="s">
        <v>220</v>
      </c>
      <c r="J27" s="7" t="s">
        <v>571</v>
      </c>
      <c r="K27" s="7" t="s">
        <v>572</v>
      </c>
      <c r="L27" s="13" t="s">
        <v>573</v>
      </c>
      <c r="M27" s="13" t="s">
        <v>574</v>
      </c>
      <c r="N27" s="7" t="s">
        <v>224</v>
      </c>
    </row>
    <row r="28" customFormat="false" ht="23.85" hidden="false" customHeight="false" outlineLevel="0" collapsed="false">
      <c r="A28" s="13" t="s">
        <v>623</v>
      </c>
      <c r="B28" s="13" t="s">
        <v>321</v>
      </c>
      <c r="C28" s="13" t="s">
        <v>274</v>
      </c>
      <c r="D28" s="13" t="s">
        <v>430</v>
      </c>
      <c r="E28" s="7" t="s">
        <v>613</v>
      </c>
      <c r="F28" s="7" t="s">
        <v>624</v>
      </c>
      <c r="G28" s="7" t="s">
        <v>570</v>
      </c>
      <c r="H28" s="7" t="s">
        <v>132</v>
      </c>
      <c r="I28" s="7" t="s">
        <v>220</v>
      </c>
      <c r="J28" s="7" t="s">
        <v>571</v>
      </c>
      <c r="K28" s="7" t="s">
        <v>572</v>
      </c>
      <c r="L28" s="13" t="s">
        <v>573</v>
      </c>
      <c r="M28" s="13" t="s">
        <v>574</v>
      </c>
      <c r="N28" s="7" t="s">
        <v>224</v>
      </c>
    </row>
    <row r="29" customFormat="false" ht="23.85" hidden="false" customHeight="false" outlineLevel="0" collapsed="false">
      <c r="A29" s="13" t="s">
        <v>625</v>
      </c>
      <c r="B29" s="13" t="s">
        <v>321</v>
      </c>
      <c r="C29" s="13" t="s">
        <v>274</v>
      </c>
      <c r="D29" s="13" t="s">
        <v>430</v>
      </c>
      <c r="E29" s="7" t="s">
        <v>613</v>
      </c>
      <c r="F29" s="7" t="s">
        <v>626</v>
      </c>
      <c r="G29" s="7" t="s">
        <v>570</v>
      </c>
      <c r="H29" s="7" t="s">
        <v>132</v>
      </c>
      <c r="I29" s="7" t="s">
        <v>220</v>
      </c>
      <c r="J29" s="7" t="s">
        <v>571</v>
      </c>
      <c r="K29" s="7" t="s">
        <v>572</v>
      </c>
      <c r="L29" s="13" t="s">
        <v>573</v>
      </c>
      <c r="M29" s="13" t="s">
        <v>574</v>
      </c>
      <c r="N29" s="7" t="s">
        <v>224</v>
      </c>
    </row>
    <row r="30" customFormat="false" ht="23.85" hidden="false" customHeight="false" outlineLevel="0" collapsed="false">
      <c r="A30" s="13" t="s">
        <v>627</v>
      </c>
      <c r="B30" s="13" t="s">
        <v>321</v>
      </c>
      <c r="C30" s="13" t="s">
        <v>274</v>
      </c>
      <c r="D30" s="13" t="s">
        <v>430</v>
      </c>
      <c r="E30" s="7" t="s">
        <v>613</v>
      </c>
      <c r="F30" s="7" t="s">
        <v>628</v>
      </c>
      <c r="G30" s="7" t="s">
        <v>570</v>
      </c>
      <c r="H30" s="7" t="s">
        <v>132</v>
      </c>
      <c r="I30" s="7" t="s">
        <v>220</v>
      </c>
      <c r="J30" s="7" t="s">
        <v>571</v>
      </c>
      <c r="K30" s="7" t="s">
        <v>572</v>
      </c>
      <c r="L30" s="13" t="s">
        <v>573</v>
      </c>
      <c r="M30" s="13" t="s">
        <v>574</v>
      </c>
      <c r="N30" s="7" t="s">
        <v>224</v>
      </c>
    </row>
    <row r="31" customFormat="false" ht="23.85" hidden="false" customHeight="false" outlineLevel="0" collapsed="false">
      <c r="A31" s="13" t="s">
        <v>629</v>
      </c>
      <c r="B31" s="13" t="s">
        <v>321</v>
      </c>
      <c r="C31" s="13" t="s">
        <v>274</v>
      </c>
      <c r="D31" s="13" t="s">
        <v>430</v>
      </c>
      <c r="E31" s="7" t="s">
        <v>613</v>
      </c>
      <c r="F31" s="7" t="s">
        <v>630</v>
      </c>
      <c r="G31" s="7" t="s">
        <v>570</v>
      </c>
      <c r="H31" s="7" t="s">
        <v>132</v>
      </c>
      <c r="I31" s="7" t="s">
        <v>220</v>
      </c>
      <c r="J31" s="7" t="s">
        <v>571</v>
      </c>
      <c r="K31" s="7" t="s">
        <v>572</v>
      </c>
      <c r="L31" s="13" t="s">
        <v>573</v>
      </c>
      <c r="M31" s="13" t="s">
        <v>574</v>
      </c>
      <c r="N31" s="7" t="s">
        <v>224</v>
      </c>
    </row>
    <row r="32" customFormat="false" ht="23.85" hidden="false" customHeight="false" outlineLevel="0" collapsed="false">
      <c r="A32" s="13" t="s">
        <v>631</v>
      </c>
      <c r="B32" s="13" t="s">
        <v>321</v>
      </c>
      <c r="C32" s="13" t="s">
        <v>289</v>
      </c>
      <c r="D32" s="13" t="s">
        <v>632</v>
      </c>
      <c r="E32" s="7" t="s">
        <v>633</v>
      </c>
      <c r="F32" s="7" t="s">
        <v>634</v>
      </c>
      <c r="G32" s="7" t="s">
        <v>570</v>
      </c>
      <c r="H32" s="7" t="s">
        <v>132</v>
      </c>
      <c r="I32" s="7" t="s">
        <v>220</v>
      </c>
      <c r="J32" s="7" t="s">
        <v>571</v>
      </c>
      <c r="K32" s="7" t="s">
        <v>572</v>
      </c>
      <c r="L32" s="13" t="s">
        <v>573</v>
      </c>
      <c r="M32" s="13" t="s">
        <v>574</v>
      </c>
      <c r="N32" s="7" t="s">
        <v>224</v>
      </c>
    </row>
    <row r="33" customFormat="false" ht="23.85" hidden="false" customHeight="false" outlineLevel="0" collapsed="false">
      <c r="A33" s="13" t="s">
        <v>635</v>
      </c>
      <c r="B33" s="13" t="s">
        <v>321</v>
      </c>
      <c r="C33" s="13" t="s">
        <v>289</v>
      </c>
      <c r="D33" s="13" t="s">
        <v>632</v>
      </c>
      <c r="E33" s="7" t="s">
        <v>633</v>
      </c>
      <c r="F33" s="7" t="s">
        <v>636</v>
      </c>
      <c r="G33" s="7" t="s">
        <v>570</v>
      </c>
      <c r="H33" s="7" t="s">
        <v>132</v>
      </c>
      <c r="I33" s="7" t="s">
        <v>220</v>
      </c>
      <c r="J33" s="7" t="s">
        <v>571</v>
      </c>
      <c r="K33" s="7" t="s">
        <v>572</v>
      </c>
      <c r="L33" s="13" t="s">
        <v>573</v>
      </c>
      <c r="M33" s="13" t="s">
        <v>574</v>
      </c>
      <c r="N33" s="7" t="s">
        <v>224</v>
      </c>
    </row>
    <row r="34" customFormat="false" ht="23.85" hidden="false" customHeight="false" outlineLevel="0" collapsed="false">
      <c r="A34" s="13" t="s">
        <v>637</v>
      </c>
      <c r="B34" s="13" t="s">
        <v>321</v>
      </c>
      <c r="C34" s="13" t="s">
        <v>289</v>
      </c>
      <c r="D34" s="13" t="s">
        <v>632</v>
      </c>
      <c r="E34" s="7" t="s">
        <v>633</v>
      </c>
      <c r="F34" s="7" t="s">
        <v>638</v>
      </c>
      <c r="G34" s="7" t="s">
        <v>570</v>
      </c>
      <c r="H34" s="7" t="s">
        <v>132</v>
      </c>
      <c r="I34" s="7" t="s">
        <v>220</v>
      </c>
      <c r="J34" s="7" t="s">
        <v>571</v>
      </c>
      <c r="K34" s="7" t="s">
        <v>572</v>
      </c>
      <c r="L34" s="13" t="s">
        <v>573</v>
      </c>
      <c r="M34" s="13" t="s">
        <v>574</v>
      </c>
      <c r="N34" s="7" t="s">
        <v>224</v>
      </c>
    </row>
    <row r="35" customFormat="false" ht="23.85" hidden="false" customHeight="false" outlineLevel="0" collapsed="false">
      <c r="A35" s="13" t="s">
        <v>639</v>
      </c>
      <c r="B35" s="13" t="s">
        <v>321</v>
      </c>
      <c r="C35" s="13" t="s">
        <v>289</v>
      </c>
      <c r="D35" s="13" t="s">
        <v>632</v>
      </c>
      <c r="E35" s="7" t="s">
        <v>633</v>
      </c>
      <c r="F35" s="7" t="s">
        <v>640</v>
      </c>
      <c r="G35" s="7" t="s">
        <v>570</v>
      </c>
      <c r="H35" s="7" t="s">
        <v>132</v>
      </c>
      <c r="I35" s="7" t="s">
        <v>220</v>
      </c>
      <c r="J35" s="7" t="s">
        <v>571</v>
      </c>
      <c r="K35" s="7" t="s">
        <v>572</v>
      </c>
      <c r="L35" s="13" t="s">
        <v>573</v>
      </c>
      <c r="M35" s="13" t="s">
        <v>574</v>
      </c>
      <c r="N35" s="7" t="s">
        <v>224</v>
      </c>
    </row>
    <row r="36" customFormat="false" ht="23.85" hidden="false" customHeight="false" outlineLevel="0" collapsed="false">
      <c r="A36" s="13" t="s">
        <v>641</v>
      </c>
      <c r="B36" s="13" t="s">
        <v>321</v>
      </c>
      <c r="C36" s="13" t="s">
        <v>289</v>
      </c>
      <c r="D36" s="13" t="s">
        <v>632</v>
      </c>
      <c r="E36" s="7" t="s">
        <v>633</v>
      </c>
      <c r="F36" s="7" t="s">
        <v>642</v>
      </c>
      <c r="G36" s="7" t="s">
        <v>570</v>
      </c>
      <c r="H36" s="7" t="s">
        <v>132</v>
      </c>
      <c r="I36" s="7" t="s">
        <v>220</v>
      </c>
      <c r="J36" s="7" t="s">
        <v>571</v>
      </c>
      <c r="K36" s="7" t="s">
        <v>572</v>
      </c>
      <c r="L36" s="13" t="s">
        <v>573</v>
      </c>
      <c r="M36" s="13" t="s">
        <v>574</v>
      </c>
      <c r="N36" s="7" t="s">
        <v>224</v>
      </c>
    </row>
    <row r="37" customFormat="false" ht="23.85" hidden="false" customHeight="false" outlineLevel="0" collapsed="false">
      <c r="A37" s="13" t="s">
        <v>643</v>
      </c>
      <c r="B37" s="13" t="s">
        <v>321</v>
      </c>
      <c r="C37" s="13" t="s">
        <v>289</v>
      </c>
      <c r="D37" s="13" t="s">
        <v>632</v>
      </c>
      <c r="E37" s="7" t="s">
        <v>633</v>
      </c>
      <c r="F37" s="7" t="s">
        <v>644</v>
      </c>
      <c r="G37" s="7" t="s">
        <v>570</v>
      </c>
      <c r="H37" s="7" t="s">
        <v>132</v>
      </c>
      <c r="I37" s="7" t="s">
        <v>220</v>
      </c>
      <c r="J37" s="7" t="s">
        <v>571</v>
      </c>
      <c r="K37" s="7" t="s">
        <v>572</v>
      </c>
      <c r="L37" s="13" t="s">
        <v>573</v>
      </c>
      <c r="M37" s="13" t="s">
        <v>574</v>
      </c>
      <c r="N37" s="7" t="s">
        <v>224</v>
      </c>
    </row>
    <row r="38" customFormat="false" ht="23.85" hidden="false" customHeight="false" outlineLevel="0" collapsed="false">
      <c r="A38" s="13" t="s">
        <v>645</v>
      </c>
      <c r="B38" s="13" t="s">
        <v>321</v>
      </c>
      <c r="C38" s="13" t="s">
        <v>289</v>
      </c>
      <c r="D38" s="13" t="s">
        <v>632</v>
      </c>
      <c r="E38" s="7" t="s">
        <v>633</v>
      </c>
      <c r="F38" s="7" t="s">
        <v>646</v>
      </c>
      <c r="G38" s="7" t="s">
        <v>570</v>
      </c>
      <c r="H38" s="7" t="s">
        <v>132</v>
      </c>
      <c r="I38" s="7" t="s">
        <v>220</v>
      </c>
      <c r="J38" s="7" t="s">
        <v>571</v>
      </c>
      <c r="K38" s="7" t="s">
        <v>572</v>
      </c>
      <c r="L38" s="13" t="s">
        <v>573</v>
      </c>
      <c r="M38" s="13" t="s">
        <v>574</v>
      </c>
      <c r="N38" s="7" t="s">
        <v>224</v>
      </c>
    </row>
    <row r="39" customFormat="false" ht="23.85" hidden="false" customHeight="false" outlineLevel="0" collapsed="false">
      <c r="A39" s="13" t="s">
        <v>647</v>
      </c>
      <c r="B39" s="13" t="s">
        <v>321</v>
      </c>
      <c r="C39" s="13" t="s">
        <v>335</v>
      </c>
      <c r="D39" s="13" t="s">
        <v>648</v>
      </c>
      <c r="E39" s="7" t="s">
        <v>649</v>
      </c>
      <c r="F39" s="7" t="s">
        <v>650</v>
      </c>
      <c r="G39" s="7" t="s">
        <v>570</v>
      </c>
      <c r="H39" s="7" t="s">
        <v>132</v>
      </c>
      <c r="I39" s="7" t="s">
        <v>220</v>
      </c>
      <c r="J39" s="7" t="s">
        <v>571</v>
      </c>
      <c r="K39" s="7" t="s">
        <v>572</v>
      </c>
      <c r="L39" s="13" t="s">
        <v>573</v>
      </c>
      <c r="M39" s="13" t="s">
        <v>574</v>
      </c>
      <c r="N39" s="7" t="s">
        <v>224</v>
      </c>
    </row>
    <row r="40" customFormat="false" ht="23.85" hidden="false" customHeight="false" outlineLevel="0" collapsed="false">
      <c r="A40" s="13" t="s">
        <v>651</v>
      </c>
      <c r="B40" s="13" t="s">
        <v>321</v>
      </c>
      <c r="C40" s="13" t="s">
        <v>335</v>
      </c>
      <c r="D40" s="13" t="s">
        <v>648</v>
      </c>
      <c r="E40" s="7" t="s">
        <v>649</v>
      </c>
      <c r="F40" s="7" t="s">
        <v>652</v>
      </c>
      <c r="G40" s="7" t="s">
        <v>570</v>
      </c>
      <c r="H40" s="7" t="s">
        <v>132</v>
      </c>
      <c r="I40" s="7" t="s">
        <v>220</v>
      </c>
      <c r="J40" s="7" t="s">
        <v>571</v>
      </c>
      <c r="K40" s="7" t="s">
        <v>572</v>
      </c>
      <c r="L40" s="13" t="s">
        <v>573</v>
      </c>
      <c r="M40" s="13" t="s">
        <v>574</v>
      </c>
      <c r="N40" s="7" t="s">
        <v>224</v>
      </c>
    </row>
    <row r="41" customFormat="false" ht="23.85" hidden="false" customHeight="false" outlineLevel="0" collapsed="false">
      <c r="A41" s="13" t="s">
        <v>653</v>
      </c>
      <c r="B41" s="13" t="s">
        <v>321</v>
      </c>
      <c r="C41" s="13" t="s">
        <v>335</v>
      </c>
      <c r="D41" s="13" t="s">
        <v>648</v>
      </c>
      <c r="E41" s="7" t="s">
        <v>649</v>
      </c>
      <c r="F41" s="7" t="s">
        <v>654</v>
      </c>
      <c r="G41" s="7" t="s">
        <v>570</v>
      </c>
      <c r="H41" s="7" t="s">
        <v>132</v>
      </c>
      <c r="I41" s="7" t="s">
        <v>220</v>
      </c>
      <c r="J41" s="7" t="s">
        <v>571</v>
      </c>
      <c r="K41" s="7" t="s">
        <v>572</v>
      </c>
      <c r="L41" s="13" t="s">
        <v>573</v>
      </c>
      <c r="M41" s="13" t="s">
        <v>574</v>
      </c>
      <c r="N41" s="7" t="s">
        <v>224</v>
      </c>
    </row>
    <row r="42" customFormat="false" ht="23.85" hidden="false" customHeight="false" outlineLevel="0" collapsed="false">
      <c r="A42" s="13" t="s">
        <v>655</v>
      </c>
      <c r="B42" s="13" t="s">
        <v>321</v>
      </c>
      <c r="C42" s="13" t="s">
        <v>335</v>
      </c>
      <c r="D42" s="13" t="s">
        <v>648</v>
      </c>
      <c r="E42" s="7" t="s">
        <v>649</v>
      </c>
      <c r="F42" s="7" t="s">
        <v>656</v>
      </c>
      <c r="G42" s="7" t="s">
        <v>570</v>
      </c>
      <c r="H42" s="7" t="s">
        <v>132</v>
      </c>
      <c r="I42" s="7" t="s">
        <v>220</v>
      </c>
      <c r="J42" s="7" t="s">
        <v>571</v>
      </c>
      <c r="K42" s="7" t="s">
        <v>572</v>
      </c>
      <c r="L42" s="13" t="s">
        <v>573</v>
      </c>
      <c r="M42" s="13" t="s">
        <v>574</v>
      </c>
      <c r="N42" s="7" t="s">
        <v>224</v>
      </c>
    </row>
    <row r="43" customFormat="false" ht="23.85" hidden="false" customHeight="false" outlineLevel="0" collapsed="false">
      <c r="A43" s="13" t="s">
        <v>657</v>
      </c>
      <c r="B43" s="13" t="s">
        <v>321</v>
      </c>
      <c r="C43" s="13" t="s">
        <v>335</v>
      </c>
      <c r="D43" s="13" t="s">
        <v>648</v>
      </c>
      <c r="E43" s="7" t="s">
        <v>649</v>
      </c>
      <c r="F43" s="7" t="s">
        <v>658</v>
      </c>
      <c r="G43" s="7" t="s">
        <v>570</v>
      </c>
      <c r="H43" s="7" t="s">
        <v>132</v>
      </c>
      <c r="I43" s="7" t="s">
        <v>220</v>
      </c>
      <c r="J43" s="7" t="s">
        <v>571</v>
      </c>
      <c r="K43" s="7" t="s">
        <v>572</v>
      </c>
      <c r="L43" s="13" t="s">
        <v>573</v>
      </c>
      <c r="M43" s="13" t="s">
        <v>574</v>
      </c>
      <c r="N43" s="7" t="s">
        <v>224</v>
      </c>
    </row>
    <row r="44" customFormat="false" ht="23.85" hidden="false" customHeight="false" outlineLevel="0" collapsed="false">
      <c r="A44" s="13" t="s">
        <v>659</v>
      </c>
      <c r="B44" s="13" t="s">
        <v>321</v>
      </c>
      <c r="C44" s="13" t="s">
        <v>335</v>
      </c>
      <c r="D44" s="13" t="s">
        <v>648</v>
      </c>
      <c r="E44" s="7" t="s">
        <v>649</v>
      </c>
      <c r="F44" s="7" t="s">
        <v>660</v>
      </c>
      <c r="G44" s="7" t="s">
        <v>570</v>
      </c>
      <c r="H44" s="7" t="s">
        <v>132</v>
      </c>
      <c r="I44" s="7" t="s">
        <v>220</v>
      </c>
      <c r="J44" s="7" t="s">
        <v>571</v>
      </c>
      <c r="K44" s="7" t="s">
        <v>572</v>
      </c>
      <c r="L44" s="13" t="s">
        <v>573</v>
      </c>
      <c r="M44" s="13" t="s">
        <v>574</v>
      </c>
      <c r="N44" s="7" t="s">
        <v>224</v>
      </c>
    </row>
    <row r="45" customFormat="false" ht="23.85" hidden="false" customHeight="false" outlineLevel="0" collapsed="false">
      <c r="A45" s="13" t="s">
        <v>661</v>
      </c>
      <c r="B45" s="13" t="s">
        <v>321</v>
      </c>
      <c r="C45" s="13" t="s">
        <v>335</v>
      </c>
      <c r="D45" s="13" t="s">
        <v>648</v>
      </c>
      <c r="E45" s="7" t="s">
        <v>649</v>
      </c>
      <c r="F45" s="7" t="s">
        <v>662</v>
      </c>
      <c r="G45" s="7" t="s">
        <v>570</v>
      </c>
      <c r="H45" s="7" t="s">
        <v>132</v>
      </c>
      <c r="I45" s="7" t="s">
        <v>220</v>
      </c>
      <c r="J45" s="7" t="s">
        <v>571</v>
      </c>
      <c r="K45" s="7" t="s">
        <v>572</v>
      </c>
      <c r="L45" s="13" t="s">
        <v>573</v>
      </c>
      <c r="M45" s="13" t="s">
        <v>574</v>
      </c>
      <c r="N45" s="7" t="s">
        <v>224</v>
      </c>
    </row>
    <row r="46" customFormat="false" ht="23.85" hidden="false" customHeight="false" outlineLevel="0" collapsed="false">
      <c r="A46" s="13" t="s">
        <v>663</v>
      </c>
      <c r="B46" s="13" t="s">
        <v>321</v>
      </c>
      <c r="C46" s="13" t="s">
        <v>372</v>
      </c>
      <c r="D46" s="13" t="s">
        <v>584</v>
      </c>
      <c r="E46" s="7" t="s">
        <v>664</v>
      </c>
      <c r="F46" s="7" t="s">
        <v>665</v>
      </c>
      <c r="G46" s="7" t="s">
        <v>570</v>
      </c>
      <c r="H46" s="7" t="s">
        <v>132</v>
      </c>
      <c r="I46" s="7" t="s">
        <v>220</v>
      </c>
      <c r="J46" s="7" t="s">
        <v>571</v>
      </c>
      <c r="K46" s="7" t="s">
        <v>572</v>
      </c>
      <c r="L46" s="13" t="s">
        <v>573</v>
      </c>
      <c r="M46" s="13" t="s">
        <v>574</v>
      </c>
      <c r="N46" s="7" t="s">
        <v>224</v>
      </c>
    </row>
    <row r="47" customFormat="false" ht="23.85" hidden="false" customHeight="false" outlineLevel="0" collapsed="false">
      <c r="A47" s="13" t="s">
        <v>666</v>
      </c>
      <c r="B47" s="13" t="s">
        <v>321</v>
      </c>
      <c r="C47" s="13" t="s">
        <v>372</v>
      </c>
      <c r="D47" s="13" t="s">
        <v>584</v>
      </c>
      <c r="E47" s="7" t="s">
        <v>664</v>
      </c>
      <c r="F47" s="7" t="s">
        <v>667</v>
      </c>
      <c r="G47" s="7" t="s">
        <v>570</v>
      </c>
      <c r="H47" s="7" t="s">
        <v>132</v>
      </c>
      <c r="I47" s="7" t="s">
        <v>220</v>
      </c>
      <c r="J47" s="7" t="s">
        <v>571</v>
      </c>
      <c r="K47" s="7" t="s">
        <v>572</v>
      </c>
      <c r="L47" s="13" t="s">
        <v>573</v>
      </c>
      <c r="M47" s="13" t="s">
        <v>574</v>
      </c>
      <c r="N47" s="7" t="s">
        <v>224</v>
      </c>
    </row>
    <row r="48" customFormat="false" ht="23.85" hidden="false" customHeight="false" outlineLevel="0" collapsed="false">
      <c r="A48" s="13" t="s">
        <v>668</v>
      </c>
      <c r="B48" s="13" t="s">
        <v>321</v>
      </c>
      <c r="C48" s="13" t="s">
        <v>372</v>
      </c>
      <c r="D48" s="13" t="s">
        <v>584</v>
      </c>
      <c r="E48" s="7" t="s">
        <v>664</v>
      </c>
      <c r="F48" s="7" t="s">
        <v>669</v>
      </c>
      <c r="G48" s="7" t="s">
        <v>570</v>
      </c>
      <c r="H48" s="7" t="s">
        <v>132</v>
      </c>
      <c r="I48" s="7" t="s">
        <v>220</v>
      </c>
      <c r="J48" s="7" t="s">
        <v>571</v>
      </c>
      <c r="K48" s="7" t="s">
        <v>572</v>
      </c>
      <c r="L48" s="13" t="s">
        <v>573</v>
      </c>
      <c r="M48" s="13" t="s">
        <v>574</v>
      </c>
      <c r="N48" s="7" t="s">
        <v>224</v>
      </c>
    </row>
    <row r="49" customFormat="false" ht="23.85" hidden="false" customHeight="false" outlineLevel="0" collapsed="false">
      <c r="A49" s="13" t="s">
        <v>670</v>
      </c>
      <c r="B49" s="13" t="s">
        <v>321</v>
      </c>
      <c r="C49" s="13" t="s">
        <v>372</v>
      </c>
      <c r="D49" s="13" t="s">
        <v>584</v>
      </c>
      <c r="E49" s="7" t="s">
        <v>664</v>
      </c>
      <c r="F49" s="7" t="s">
        <v>671</v>
      </c>
      <c r="G49" s="7" t="s">
        <v>570</v>
      </c>
      <c r="H49" s="7" t="s">
        <v>132</v>
      </c>
      <c r="I49" s="7" t="s">
        <v>220</v>
      </c>
      <c r="J49" s="7" t="s">
        <v>571</v>
      </c>
      <c r="K49" s="7" t="s">
        <v>572</v>
      </c>
      <c r="L49" s="13" t="s">
        <v>573</v>
      </c>
      <c r="M49" s="13" t="s">
        <v>574</v>
      </c>
      <c r="N49" s="7" t="s">
        <v>224</v>
      </c>
    </row>
    <row r="50" customFormat="false" ht="23.85" hidden="false" customHeight="false" outlineLevel="0" collapsed="false">
      <c r="A50" s="13" t="s">
        <v>672</v>
      </c>
      <c r="B50" s="13" t="s">
        <v>321</v>
      </c>
      <c r="C50" s="13" t="s">
        <v>372</v>
      </c>
      <c r="D50" s="13" t="s">
        <v>584</v>
      </c>
      <c r="E50" s="7" t="s">
        <v>664</v>
      </c>
      <c r="F50" s="7" t="s">
        <v>673</v>
      </c>
      <c r="G50" s="7" t="s">
        <v>570</v>
      </c>
      <c r="H50" s="7" t="s">
        <v>132</v>
      </c>
      <c r="I50" s="7" t="s">
        <v>220</v>
      </c>
      <c r="J50" s="7" t="s">
        <v>571</v>
      </c>
      <c r="K50" s="7" t="s">
        <v>572</v>
      </c>
      <c r="L50" s="13" t="s">
        <v>573</v>
      </c>
      <c r="M50" s="13" t="s">
        <v>574</v>
      </c>
      <c r="N50" s="7" t="s">
        <v>224</v>
      </c>
    </row>
    <row r="51" customFormat="false" ht="23.85" hidden="false" customHeight="false" outlineLevel="0" collapsed="false">
      <c r="A51" s="13" t="s">
        <v>674</v>
      </c>
      <c r="B51" s="13" t="s">
        <v>321</v>
      </c>
      <c r="C51" s="13" t="s">
        <v>372</v>
      </c>
      <c r="D51" s="13" t="s">
        <v>584</v>
      </c>
      <c r="E51" s="7" t="s">
        <v>664</v>
      </c>
      <c r="F51" s="7" t="s">
        <v>675</v>
      </c>
      <c r="G51" s="7" t="s">
        <v>570</v>
      </c>
      <c r="H51" s="7" t="s">
        <v>132</v>
      </c>
      <c r="I51" s="7" t="s">
        <v>220</v>
      </c>
      <c r="J51" s="7" t="s">
        <v>571</v>
      </c>
      <c r="K51" s="7" t="s">
        <v>572</v>
      </c>
      <c r="L51" s="13" t="s">
        <v>573</v>
      </c>
      <c r="M51" s="13" t="s">
        <v>574</v>
      </c>
      <c r="N51" s="7" t="s">
        <v>224</v>
      </c>
    </row>
    <row r="52" customFormat="false" ht="23.85" hidden="false" customHeight="false" outlineLevel="0" collapsed="false">
      <c r="A52" s="13" t="s">
        <v>676</v>
      </c>
      <c r="B52" s="13" t="s">
        <v>321</v>
      </c>
      <c r="C52" s="13" t="s">
        <v>372</v>
      </c>
      <c r="D52" s="13" t="s">
        <v>584</v>
      </c>
      <c r="E52" s="7" t="s">
        <v>664</v>
      </c>
      <c r="F52" s="7" t="s">
        <v>677</v>
      </c>
      <c r="G52" s="7" t="s">
        <v>570</v>
      </c>
      <c r="H52" s="7" t="s">
        <v>132</v>
      </c>
      <c r="I52" s="7" t="s">
        <v>220</v>
      </c>
      <c r="J52" s="7" t="s">
        <v>571</v>
      </c>
      <c r="K52" s="7" t="s">
        <v>572</v>
      </c>
      <c r="L52" s="13" t="s">
        <v>573</v>
      </c>
      <c r="M52" s="13" t="s">
        <v>574</v>
      </c>
      <c r="N52" s="7" t="s">
        <v>224</v>
      </c>
    </row>
    <row r="53" customFormat="false" ht="23.85" hidden="false" customHeight="false" outlineLevel="0" collapsed="false">
      <c r="A53" s="13" t="s">
        <v>678</v>
      </c>
      <c r="B53" s="13" t="s">
        <v>321</v>
      </c>
      <c r="C53" s="13" t="s">
        <v>372</v>
      </c>
      <c r="D53" s="13" t="s">
        <v>584</v>
      </c>
      <c r="E53" s="7" t="s">
        <v>664</v>
      </c>
      <c r="F53" s="7" t="s">
        <v>679</v>
      </c>
      <c r="G53" s="7" t="s">
        <v>570</v>
      </c>
      <c r="H53" s="7" t="s">
        <v>132</v>
      </c>
      <c r="I53" s="7" t="s">
        <v>220</v>
      </c>
      <c r="J53" s="7" t="s">
        <v>571</v>
      </c>
      <c r="K53" s="7" t="s">
        <v>572</v>
      </c>
      <c r="L53" s="13" t="s">
        <v>573</v>
      </c>
      <c r="M53" s="13" t="s">
        <v>574</v>
      </c>
      <c r="N53" s="7" t="s">
        <v>224</v>
      </c>
    </row>
    <row r="54" customFormat="false" ht="23.85" hidden="false" customHeight="false" outlineLevel="0" collapsed="false">
      <c r="A54" s="13" t="s">
        <v>680</v>
      </c>
      <c r="B54" s="13" t="s">
        <v>321</v>
      </c>
      <c r="C54" s="13" t="s">
        <v>386</v>
      </c>
      <c r="D54" s="13" t="s">
        <v>632</v>
      </c>
      <c r="E54" s="7" t="s">
        <v>681</v>
      </c>
      <c r="F54" s="7" t="s">
        <v>682</v>
      </c>
      <c r="G54" s="7" t="s">
        <v>570</v>
      </c>
      <c r="H54" s="7" t="s">
        <v>132</v>
      </c>
      <c r="I54" s="7" t="s">
        <v>220</v>
      </c>
      <c r="J54" s="7" t="s">
        <v>571</v>
      </c>
      <c r="K54" s="7" t="s">
        <v>572</v>
      </c>
      <c r="L54" s="13" t="s">
        <v>573</v>
      </c>
      <c r="M54" s="13" t="s">
        <v>574</v>
      </c>
      <c r="N54" s="7" t="s">
        <v>224</v>
      </c>
    </row>
    <row r="55" customFormat="false" ht="23.85" hidden="false" customHeight="false" outlineLevel="0" collapsed="false">
      <c r="A55" s="13" t="s">
        <v>683</v>
      </c>
      <c r="B55" s="13" t="s">
        <v>321</v>
      </c>
      <c r="C55" s="13" t="s">
        <v>386</v>
      </c>
      <c r="D55" s="13" t="s">
        <v>632</v>
      </c>
      <c r="E55" s="7" t="s">
        <v>681</v>
      </c>
      <c r="F55" s="7" t="s">
        <v>684</v>
      </c>
      <c r="G55" s="7" t="s">
        <v>570</v>
      </c>
      <c r="H55" s="7" t="s">
        <v>132</v>
      </c>
      <c r="I55" s="7" t="s">
        <v>220</v>
      </c>
      <c r="J55" s="7" t="s">
        <v>571</v>
      </c>
      <c r="K55" s="7" t="s">
        <v>572</v>
      </c>
      <c r="L55" s="13" t="s">
        <v>573</v>
      </c>
      <c r="M55" s="13" t="s">
        <v>574</v>
      </c>
      <c r="N55" s="7" t="s">
        <v>224</v>
      </c>
    </row>
    <row r="56" customFormat="false" ht="23.85" hidden="false" customHeight="false" outlineLevel="0" collapsed="false">
      <c r="A56" s="13" t="s">
        <v>685</v>
      </c>
      <c r="B56" s="13" t="s">
        <v>321</v>
      </c>
      <c r="C56" s="13" t="s">
        <v>386</v>
      </c>
      <c r="D56" s="13" t="s">
        <v>632</v>
      </c>
      <c r="E56" s="7" t="s">
        <v>681</v>
      </c>
      <c r="F56" s="7" t="s">
        <v>686</v>
      </c>
      <c r="G56" s="7" t="s">
        <v>570</v>
      </c>
      <c r="H56" s="7" t="s">
        <v>132</v>
      </c>
      <c r="I56" s="7" t="s">
        <v>220</v>
      </c>
      <c r="J56" s="7" t="s">
        <v>571</v>
      </c>
      <c r="K56" s="7" t="s">
        <v>572</v>
      </c>
      <c r="L56" s="13" t="s">
        <v>573</v>
      </c>
      <c r="M56" s="13" t="s">
        <v>574</v>
      </c>
      <c r="N56" s="7" t="s">
        <v>224</v>
      </c>
    </row>
    <row r="57" customFormat="false" ht="23.85" hidden="false" customHeight="false" outlineLevel="0" collapsed="false">
      <c r="A57" s="13" t="s">
        <v>687</v>
      </c>
      <c r="B57" s="13" t="s">
        <v>321</v>
      </c>
      <c r="C57" s="13" t="s">
        <v>386</v>
      </c>
      <c r="D57" s="13" t="s">
        <v>632</v>
      </c>
      <c r="E57" s="7" t="s">
        <v>681</v>
      </c>
      <c r="F57" s="7" t="s">
        <v>688</v>
      </c>
      <c r="G57" s="7" t="s">
        <v>570</v>
      </c>
      <c r="H57" s="7" t="s">
        <v>132</v>
      </c>
      <c r="I57" s="7" t="s">
        <v>220</v>
      </c>
      <c r="J57" s="7" t="s">
        <v>571</v>
      </c>
      <c r="K57" s="7" t="s">
        <v>572</v>
      </c>
      <c r="L57" s="13" t="s">
        <v>573</v>
      </c>
      <c r="M57" s="13" t="s">
        <v>574</v>
      </c>
      <c r="N57" s="7" t="s">
        <v>224</v>
      </c>
    </row>
    <row r="58" customFormat="false" ht="23.85" hidden="false" customHeight="false" outlineLevel="0" collapsed="false">
      <c r="A58" s="13" t="s">
        <v>689</v>
      </c>
      <c r="B58" s="13" t="s">
        <v>321</v>
      </c>
      <c r="C58" s="13" t="s">
        <v>386</v>
      </c>
      <c r="D58" s="13" t="s">
        <v>632</v>
      </c>
      <c r="E58" s="7" t="s">
        <v>681</v>
      </c>
      <c r="F58" s="7" t="s">
        <v>690</v>
      </c>
      <c r="G58" s="7" t="s">
        <v>570</v>
      </c>
      <c r="H58" s="7" t="s">
        <v>132</v>
      </c>
      <c r="I58" s="7" t="s">
        <v>220</v>
      </c>
      <c r="J58" s="7" t="s">
        <v>571</v>
      </c>
      <c r="K58" s="7" t="s">
        <v>572</v>
      </c>
      <c r="L58" s="13" t="s">
        <v>573</v>
      </c>
      <c r="M58" s="13" t="s">
        <v>574</v>
      </c>
      <c r="N58" s="7" t="s">
        <v>224</v>
      </c>
    </row>
    <row r="59" customFormat="false" ht="23.85" hidden="false" customHeight="false" outlineLevel="0" collapsed="false">
      <c r="A59" s="13" t="s">
        <v>691</v>
      </c>
      <c r="B59" s="13" t="s">
        <v>321</v>
      </c>
      <c r="C59" s="13" t="s">
        <v>386</v>
      </c>
      <c r="D59" s="13" t="s">
        <v>632</v>
      </c>
      <c r="E59" s="7" t="s">
        <v>681</v>
      </c>
      <c r="F59" s="7" t="s">
        <v>692</v>
      </c>
      <c r="G59" s="7" t="s">
        <v>570</v>
      </c>
      <c r="H59" s="7" t="s">
        <v>132</v>
      </c>
      <c r="I59" s="7" t="s">
        <v>220</v>
      </c>
      <c r="J59" s="7" t="s">
        <v>571</v>
      </c>
      <c r="K59" s="7" t="s">
        <v>572</v>
      </c>
      <c r="L59" s="13" t="s">
        <v>573</v>
      </c>
      <c r="M59" s="13" t="s">
        <v>574</v>
      </c>
      <c r="N59" s="7" t="s">
        <v>224</v>
      </c>
    </row>
    <row r="60" customFormat="false" ht="23.85" hidden="false" customHeight="false" outlineLevel="0" collapsed="false">
      <c r="A60" s="13" t="s">
        <v>693</v>
      </c>
      <c r="B60" s="13" t="s">
        <v>321</v>
      </c>
      <c r="C60" s="13" t="s">
        <v>386</v>
      </c>
      <c r="D60" s="13" t="s">
        <v>632</v>
      </c>
      <c r="E60" s="7" t="s">
        <v>681</v>
      </c>
      <c r="F60" s="7" t="s">
        <v>694</v>
      </c>
      <c r="G60" s="7" t="s">
        <v>570</v>
      </c>
      <c r="H60" s="7" t="s">
        <v>132</v>
      </c>
      <c r="I60" s="7" t="s">
        <v>220</v>
      </c>
      <c r="J60" s="7" t="s">
        <v>571</v>
      </c>
      <c r="K60" s="7" t="s">
        <v>572</v>
      </c>
      <c r="L60" s="13" t="s">
        <v>573</v>
      </c>
      <c r="M60" s="13" t="s">
        <v>574</v>
      </c>
      <c r="N60" s="7" t="s">
        <v>224</v>
      </c>
    </row>
    <row r="61" customFormat="false" ht="23.85" hidden="false" customHeight="false" outlineLevel="0" collapsed="false">
      <c r="A61" s="13" t="s">
        <v>695</v>
      </c>
      <c r="B61" s="13" t="s">
        <v>321</v>
      </c>
      <c r="C61" s="13" t="s">
        <v>386</v>
      </c>
      <c r="D61" s="13" t="s">
        <v>632</v>
      </c>
      <c r="E61" s="7" t="s">
        <v>681</v>
      </c>
      <c r="F61" s="7" t="s">
        <v>696</v>
      </c>
      <c r="G61" s="7" t="s">
        <v>570</v>
      </c>
      <c r="H61" s="7" t="s">
        <v>132</v>
      </c>
      <c r="I61" s="7" t="s">
        <v>220</v>
      </c>
      <c r="J61" s="7" t="s">
        <v>571</v>
      </c>
      <c r="K61" s="7" t="s">
        <v>572</v>
      </c>
      <c r="L61" s="13" t="s">
        <v>573</v>
      </c>
      <c r="M61" s="13" t="s">
        <v>574</v>
      </c>
      <c r="N61" s="7" t="s">
        <v>224</v>
      </c>
    </row>
    <row r="62" customFormat="false" ht="35.05" hidden="false" customHeight="false" outlineLevel="0" collapsed="false">
      <c r="A62" s="13" t="s">
        <v>697</v>
      </c>
      <c r="B62" s="13" t="s">
        <v>698</v>
      </c>
      <c r="C62" s="13" t="s">
        <v>428</v>
      </c>
      <c r="D62" s="13" t="s">
        <v>584</v>
      </c>
      <c r="E62" s="7" t="s">
        <v>699</v>
      </c>
      <c r="F62" s="7" t="s">
        <v>700</v>
      </c>
      <c r="G62" s="7" t="s">
        <v>570</v>
      </c>
      <c r="H62" s="7" t="s">
        <v>701</v>
      </c>
      <c r="I62" s="7" t="s">
        <v>702</v>
      </c>
      <c r="J62" s="7" t="s">
        <v>703</v>
      </c>
      <c r="K62" s="7" t="s">
        <v>704</v>
      </c>
      <c r="L62" s="13" t="s">
        <v>573</v>
      </c>
      <c r="M62" s="13" t="s">
        <v>574</v>
      </c>
      <c r="N62" s="7" t="s">
        <v>224</v>
      </c>
    </row>
    <row r="63" customFormat="false" ht="35.05" hidden="false" customHeight="false" outlineLevel="0" collapsed="false">
      <c r="A63" s="13" t="s">
        <v>705</v>
      </c>
      <c r="B63" s="13" t="s">
        <v>706</v>
      </c>
      <c r="C63" s="13" t="s">
        <v>428</v>
      </c>
      <c r="D63" s="13" t="s">
        <v>584</v>
      </c>
      <c r="E63" s="7" t="s">
        <v>699</v>
      </c>
      <c r="F63" s="7" t="s">
        <v>707</v>
      </c>
      <c r="G63" s="7" t="s">
        <v>570</v>
      </c>
      <c r="H63" s="7" t="s">
        <v>131</v>
      </c>
      <c r="I63" s="7" t="s">
        <v>708</v>
      </c>
      <c r="J63" s="7" t="s">
        <v>703</v>
      </c>
      <c r="K63" s="7" t="s">
        <v>704</v>
      </c>
      <c r="L63" s="13" t="s">
        <v>573</v>
      </c>
      <c r="M63" s="13" t="s">
        <v>574</v>
      </c>
      <c r="N63" s="7" t="s">
        <v>224</v>
      </c>
    </row>
    <row r="64" customFormat="false" ht="35.05" hidden="false" customHeight="false" outlineLevel="0" collapsed="false">
      <c r="A64" s="13" t="s">
        <v>709</v>
      </c>
      <c r="B64" s="13" t="s">
        <v>710</v>
      </c>
      <c r="C64" s="13" t="s">
        <v>428</v>
      </c>
      <c r="D64" s="13" t="s">
        <v>584</v>
      </c>
      <c r="E64" s="7" t="s">
        <v>699</v>
      </c>
      <c r="F64" s="7" t="s">
        <v>711</v>
      </c>
      <c r="G64" s="7" t="s">
        <v>570</v>
      </c>
      <c r="H64" s="7" t="s">
        <v>131</v>
      </c>
      <c r="I64" s="7" t="s">
        <v>712</v>
      </c>
      <c r="J64" s="7" t="s">
        <v>703</v>
      </c>
      <c r="K64" s="7" t="s">
        <v>704</v>
      </c>
      <c r="L64" s="13" t="s">
        <v>573</v>
      </c>
      <c r="M64" s="13" t="s">
        <v>574</v>
      </c>
      <c r="N64" s="7" t="s">
        <v>224</v>
      </c>
    </row>
    <row r="65" customFormat="false" ht="35.05" hidden="false" customHeight="false" outlineLevel="0" collapsed="false">
      <c r="A65" s="13" t="s">
        <v>713</v>
      </c>
      <c r="B65" s="13" t="s">
        <v>714</v>
      </c>
      <c r="C65" s="13" t="s">
        <v>428</v>
      </c>
      <c r="D65" s="13" t="s">
        <v>584</v>
      </c>
      <c r="E65" s="7" t="s">
        <v>699</v>
      </c>
      <c r="F65" s="7" t="s">
        <v>715</v>
      </c>
      <c r="G65" s="7" t="s">
        <v>570</v>
      </c>
      <c r="H65" s="7" t="s">
        <v>716</v>
      </c>
      <c r="I65" s="7" t="s">
        <v>717</v>
      </c>
      <c r="J65" s="7" t="s">
        <v>703</v>
      </c>
      <c r="K65" s="7" t="s">
        <v>704</v>
      </c>
      <c r="L65" s="13" t="s">
        <v>573</v>
      </c>
      <c r="M65" s="13" t="s">
        <v>574</v>
      </c>
      <c r="N65" s="7" t="s">
        <v>224</v>
      </c>
    </row>
    <row r="66" customFormat="false" ht="35.05" hidden="false" customHeight="false" outlineLevel="0" collapsed="false">
      <c r="A66" s="13" t="s">
        <v>718</v>
      </c>
      <c r="B66" s="13" t="s">
        <v>719</v>
      </c>
      <c r="C66" s="13" t="s">
        <v>428</v>
      </c>
      <c r="D66" s="13" t="s">
        <v>584</v>
      </c>
      <c r="E66" s="7" t="s">
        <v>699</v>
      </c>
      <c r="F66" s="7" t="s">
        <v>720</v>
      </c>
      <c r="G66" s="7" t="s">
        <v>570</v>
      </c>
      <c r="H66" s="7" t="s">
        <v>721</v>
      </c>
      <c r="I66" s="7" t="s">
        <v>717</v>
      </c>
      <c r="J66" s="7" t="s">
        <v>703</v>
      </c>
      <c r="K66" s="7" t="s">
        <v>704</v>
      </c>
      <c r="L66" s="13" t="s">
        <v>573</v>
      </c>
      <c r="M66" s="13" t="s">
        <v>574</v>
      </c>
      <c r="N66" s="7" t="s">
        <v>224</v>
      </c>
    </row>
    <row r="67" customFormat="false" ht="35.05" hidden="false" customHeight="false" outlineLevel="0" collapsed="false">
      <c r="A67" s="13" t="s">
        <v>722</v>
      </c>
      <c r="B67" s="13" t="s">
        <v>723</v>
      </c>
      <c r="C67" s="13" t="s">
        <v>428</v>
      </c>
      <c r="D67" s="13" t="s">
        <v>584</v>
      </c>
      <c r="E67" s="7" t="s">
        <v>699</v>
      </c>
      <c r="F67" s="7" t="s">
        <v>724</v>
      </c>
      <c r="G67" s="7" t="s">
        <v>570</v>
      </c>
      <c r="H67" s="7" t="s">
        <v>131</v>
      </c>
      <c r="I67" s="7" t="s">
        <v>725</v>
      </c>
      <c r="J67" s="7" t="s">
        <v>703</v>
      </c>
      <c r="K67" s="7" t="s">
        <v>704</v>
      </c>
      <c r="L67" s="13" t="s">
        <v>573</v>
      </c>
      <c r="M67" s="13" t="s">
        <v>574</v>
      </c>
      <c r="N67" s="7" t="s">
        <v>224</v>
      </c>
    </row>
    <row r="68" customFormat="false" ht="35.05" hidden="false" customHeight="false" outlineLevel="0" collapsed="false">
      <c r="A68" s="13" t="s">
        <v>726</v>
      </c>
      <c r="B68" s="13" t="s">
        <v>727</v>
      </c>
      <c r="C68" s="13" t="s">
        <v>428</v>
      </c>
      <c r="D68" s="13" t="s">
        <v>584</v>
      </c>
      <c r="E68" s="7" t="s">
        <v>699</v>
      </c>
      <c r="F68" s="7" t="s">
        <v>728</v>
      </c>
      <c r="G68" s="7" t="s">
        <v>570</v>
      </c>
      <c r="H68" s="7" t="s">
        <v>729</v>
      </c>
      <c r="I68" s="7" t="s">
        <v>730</v>
      </c>
      <c r="J68" s="7" t="s">
        <v>703</v>
      </c>
      <c r="K68" s="7" t="s">
        <v>704</v>
      </c>
      <c r="L68" s="13" t="s">
        <v>573</v>
      </c>
      <c r="M68" s="13" t="s">
        <v>574</v>
      </c>
      <c r="N68" s="7" t="s">
        <v>224</v>
      </c>
    </row>
    <row r="69" customFormat="false" ht="35.05" hidden="false" customHeight="false" outlineLevel="0" collapsed="false">
      <c r="A69" s="13" t="s">
        <v>731</v>
      </c>
      <c r="B69" s="13" t="s">
        <v>732</v>
      </c>
      <c r="C69" s="13" t="s">
        <v>428</v>
      </c>
      <c r="D69" s="13" t="s">
        <v>584</v>
      </c>
      <c r="E69" s="7" t="s">
        <v>699</v>
      </c>
      <c r="F69" s="7" t="s">
        <v>733</v>
      </c>
      <c r="G69" s="7" t="s">
        <v>570</v>
      </c>
      <c r="H69" s="7" t="s">
        <v>131</v>
      </c>
      <c r="I69" s="7" t="s">
        <v>734</v>
      </c>
      <c r="J69" s="7" t="s">
        <v>703</v>
      </c>
      <c r="K69" s="7" t="s">
        <v>704</v>
      </c>
      <c r="L69" s="13" t="s">
        <v>573</v>
      </c>
      <c r="M69" s="13" t="s">
        <v>574</v>
      </c>
      <c r="N69" s="7" t="s">
        <v>224</v>
      </c>
    </row>
    <row r="70" customFormat="false" ht="35.05" hidden="false" customHeight="false" outlineLevel="0" collapsed="false">
      <c r="A70" s="13" t="s">
        <v>735</v>
      </c>
      <c r="B70" s="13" t="s">
        <v>736</v>
      </c>
      <c r="C70" s="13" t="s">
        <v>428</v>
      </c>
      <c r="D70" s="13" t="s">
        <v>584</v>
      </c>
      <c r="E70" s="7" t="s">
        <v>699</v>
      </c>
      <c r="F70" s="7" t="s">
        <v>737</v>
      </c>
      <c r="G70" s="7" t="s">
        <v>570</v>
      </c>
      <c r="H70" s="7" t="s">
        <v>738</v>
      </c>
      <c r="I70" s="7" t="s">
        <v>734</v>
      </c>
      <c r="J70" s="7" t="s">
        <v>703</v>
      </c>
      <c r="K70" s="7" t="s">
        <v>704</v>
      </c>
      <c r="L70" s="13" t="s">
        <v>573</v>
      </c>
      <c r="M70" s="13" t="s">
        <v>574</v>
      </c>
      <c r="N70" s="7" t="s">
        <v>224</v>
      </c>
    </row>
    <row r="71" customFormat="false" ht="35.05" hidden="false" customHeight="false" outlineLevel="0" collapsed="false">
      <c r="A71" s="13" t="s">
        <v>739</v>
      </c>
      <c r="B71" s="13" t="s">
        <v>740</v>
      </c>
      <c r="C71" s="13" t="s">
        <v>428</v>
      </c>
      <c r="D71" s="13" t="s">
        <v>584</v>
      </c>
      <c r="E71" s="7" t="s">
        <v>699</v>
      </c>
      <c r="F71" s="7" t="s">
        <v>741</v>
      </c>
      <c r="G71" s="7" t="s">
        <v>570</v>
      </c>
      <c r="H71" s="7" t="s">
        <v>742</v>
      </c>
      <c r="I71" s="7" t="s">
        <v>743</v>
      </c>
      <c r="J71" s="7" t="s">
        <v>703</v>
      </c>
      <c r="K71" s="7" t="s">
        <v>704</v>
      </c>
      <c r="L71" s="13" t="s">
        <v>573</v>
      </c>
      <c r="M71" s="13" t="s">
        <v>574</v>
      </c>
      <c r="N71" s="7" t="s">
        <v>224</v>
      </c>
    </row>
    <row r="72" customFormat="false" ht="35.05" hidden="false" customHeight="false" outlineLevel="0" collapsed="false">
      <c r="A72" s="13" t="s">
        <v>744</v>
      </c>
      <c r="B72" s="13" t="s">
        <v>745</v>
      </c>
      <c r="C72" s="13" t="s">
        <v>428</v>
      </c>
      <c r="D72" s="13" t="s">
        <v>584</v>
      </c>
      <c r="E72" s="7" t="s">
        <v>699</v>
      </c>
      <c r="F72" s="7" t="s">
        <v>746</v>
      </c>
      <c r="G72" s="7" t="s">
        <v>570</v>
      </c>
      <c r="H72" s="7" t="s">
        <v>747</v>
      </c>
      <c r="I72" s="7" t="s">
        <v>708</v>
      </c>
      <c r="J72" s="7" t="s">
        <v>703</v>
      </c>
      <c r="K72" s="7" t="s">
        <v>704</v>
      </c>
      <c r="L72" s="13" t="s">
        <v>573</v>
      </c>
      <c r="M72" s="13" t="s">
        <v>574</v>
      </c>
      <c r="N72" s="7" t="s">
        <v>224</v>
      </c>
    </row>
    <row r="73" customFormat="false" ht="35.05" hidden="false" customHeight="false" outlineLevel="0" collapsed="false">
      <c r="A73" s="13" t="s">
        <v>748</v>
      </c>
      <c r="B73" s="13" t="s">
        <v>749</v>
      </c>
      <c r="C73" s="13" t="s">
        <v>428</v>
      </c>
      <c r="D73" s="13" t="s">
        <v>584</v>
      </c>
      <c r="E73" s="7" t="s">
        <v>699</v>
      </c>
      <c r="F73" s="7" t="s">
        <v>750</v>
      </c>
      <c r="G73" s="7" t="s">
        <v>570</v>
      </c>
      <c r="H73" s="7" t="s">
        <v>131</v>
      </c>
      <c r="I73" s="7" t="s">
        <v>751</v>
      </c>
      <c r="J73" s="7" t="s">
        <v>703</v>
      </c>
      <c r="K73" s="7" t="s">
        <v>704</v>
      </c>
      <c r="L73" s="13" t="s">
        <v>573</v>
      </c>
      <c r="M73" s="13" t="s">
        <v>574</v>
      </c>
      <c r="N73" s="7" t="s">
        <v>224</v>
      </c>
    </row>
    <row r="74" customFormat="false" ht="23.85" hidden="false" customHeight="false" outlineLevel="0" collapsed="false">
      <c r="A74" s="13" t="s">
        <v>752</v>
      </c>
      <c r="B74" s="13" t="s">
        <v>753</v>
      </c>
      <c r="C74" s="13" t="s">
        <v>461</v>
      </c>
      <c r="D74" s="13" t="s">
        <v>648</v>
      </c>
      <c r="E74" s="7" t="s">
        <v>754</v>
      </c>
      <c r="F74" s="7" t="s">
        <v>755</v>
      </c>
      <c r="G74" s="7" t="s">
        <v>570</v>
      </c>
      <c r="H74" s="7" t="s">
        <v>132</v>
      </c>
      <c r="I74" s="7" t="s">
        <v>756</v>
      </c>
      <c r="J74" s="7" t="s">
        <v>484</v>
      </c>
      <c r="K74" s="7" t="s">
        <v>757</v>
      </c>
      <c r="L74" s="13" t="s">
        <v>573</v>
      </c>
      <c r="M74" s="13" t="s">
        <v>574</v>
      </c>
      <c r="N74" s="7" t="s">
        <v>224</v>
      </c>
    </row>
    <row r="75" customFormat="false" ht="23.85" hidden="false" customHeight="false" outlineLevel="0" collapsed="false">
      <c r="A75" s="13" t="s">
        <v>758</v>
      </c>
      <c r="B75" s="13" t="s">
        <v>759</v>
      </c>
      <c r="C75" s="13" t="s">
        <v>461</v>
      </c>
      <c r="D75" s="13" t="s">
        <v>648</v>
      </c>
      <c r="E75" s="7" t="s">
        <v>754</v>
      </c>
      <c r="F75" s="7" t="s">
        <v>760</v>
      </c>
      <c r="G75" s="7" t="s">
        <v>570</v>
      </c>
      <c r="H75" s="7" t="s">
        <v>132</v>
      </c>
      <c r="I75" s="7" t="s">
        <v>761</v>
      </c>
      <c r="J75" s="7" t="s">
        <v>484</v>
      </c>
      <c r="K75" s="7" t="s">
        <v>757</v>
      </c>
      <c r="L75" s="13" t="s">
        <v>573</v>
      </c>
      <c r="M75" s="13" t="s">
        <v>574</v>
      </c>
      <c r="N75" s="7" t="s">
        <v>224</v>
      </c>
    </row>
    <row r="76" customFormat="false" ht="23.85" hidden="false" customHeight="false" outlineLevel="0" collapsed="false">
      <c r="A76" s="13" t="s">
        <v>762</v>
      </c>
      <c r="B76" s="13" t="s">
        <v>763</v>
      </c>
      <c r="C76" s="13" t="s">
        <v>461</v>
      </c>
      <c r="D76" s="13" t="s">
        <v>648</v>
      </c>
      <c r="E76" s="7" t="s">
        <v>754</v>
      </c>
      <c r="F76" s="7" t="s">
        <v>764</v>
      </c>
      <c r="G76" s="7" t="s">
        <v>570</v>
      </c>
      <c r="H76" s="7" t="s">
        <v>132</v>
      </c>
      <c r="I76" s="7" t="s">
        <v>765</v>
      </c>
      <c r="J76" s="7" t="s">
        <v>475</v>
      </c>
      <c r="K76" s="7" t="s">
        <v>757</v>
      </c>
      <c r="L76" s="13" t="s">
        <v>573</v>
      </c>
      <c r="M76" s="13" t="s">
        <v>574</v>
      </c>
      <c r="N76" s="7" t="s">
        <v>224</v>
      </c>
    </row>
    <row r="77" customFormat="false" ht="23.85" hidden="false" customHeight="false" outlineLevel="0" collapsed="false">
      <c r="A77" s="13" t="s">
        <v>766</v>
      </c>
      <c r="B77" s="13" t="s">
        <v>767</v>
      </c>
      <c r="C77" s="13" t="s">
        <v>461</v>
      </c>
      <c r="D77" s="13" t="s">
        <v>648</v>
      </c>
      <c r="E77" s="7" t="s">
        <v>754</v>
      </c>
      <c r="F77" s="7" t="s">
        <v>768</v>
      </c>
      <c r="G77" s="7" t="s">
        <v>570</v>
      </c>
      <c r="H77" s="7" t="s">
        <v>132</v>
      </c>
      <c r="I77" s="7" t="s">
        <v>769</v>
      </c>
      <c r="J77" s="7" t="s">
        <v>475</v>
      </c>
      <c r="K77" s="7" t="s">
        <v>757</v>
      </c>
      <c r="L77" s="13" t="s">
        <v>573</v>
      </c>
      <c r="M77" s="13" t="s">
        <v>574</v>
      </c>
      <c r="N77" s="7" t="s">
        <v>224</v>
      </c>
    </row>
    <row r="78" customFormat="false" ht="23.85" hidden="false" customHeight="false" outlineLevel="0" collapsed="false">
      <c r="A78" s="13" t="s">
        <v>770</v>
      </c>
      <c r="B78" s="13" t="s">
        <v>771</v>
      </c>
      <c r="C78" s="13" t="s">
        <v>461</v>
      </c>
      <c r="D78" s="13" t="s">
        <v>648</v>
      </c>
      <c r="E78" s="7" t="s">
        <v>754</v>
      </c>
      <c r="F78" s="7" t="s">
        <v>772</v>
      </c>
      <c r="G78" s="7" t="s">
        <v>570</v>
      </c>
      <c r="H78" s="7" t="s">
        <v>132</v>
      </c>
      <c r="I78" s="7" t="s">
        <v>773</v>
      </c>
      <c r="J78" s="7" t="s">
        <v>774</v>
      </c>
      <c r="K78" s="7" t="s">
        <v>757</v>
      </c>
      <c r="L78" s="13" t="s">
        <v>573</v>
      </c>
      <c r="M78" s="13" t="s">
        <v>574</v>
      </c>
      <c r="N78" s="7" t="s">
        <v>224</v>
      </c>
    </row>
    <row r="79" customFormat="false" ht="23.85" hidden="false" customHeight="false" outlineLevel="0" collapsed="false">
      <c r="A79" s="13" t="s">
        <v>775</v>
      </c>
      <c r="B79" s="13" t="s">
        <v>776</v>
      </c>
      <c r="C79" s="13" t="s">
        <v>461</v>
      </c>
      <c r="D79" s="13" t="s">
        <v>648</v>
      </c>
      <c r="E79" s="7" t="s">
        <v>754</v>
      </c>
      <c r="F79" s="7" t="s">
        <v>777</v>
      </c>
      <c r="G79" s="7" t="s">
        <v>570</v>
      </c>
      <c r="H79" s="7" t="s">
        <v>132</v>
      </c>
      <c r="I79" s="7" t="s">
        <v>778</v>
      </c>
      <c r="J79" s="7" t="s">
        <v>460</v>
      </c>
      <c r="K79" s="7" t="s">
        <v>757</v>
      </c>
      <c r="L79" s="13" t="s">
        <v>573</v>
      </c>
      <c r="M79" s="13" t="s">
        <v>574</v>
      </c>
      <c r="N79" s="7" t="s">
        <v>224</v>
      </c>
    </row>
    <row r="80" customFormat="false" ht="23.85" hidden="false" customHeight="false" outlineLevel="0" collapsed="false">
      <c r="A80" s="13" t="s">
        <v>779</v>
      </c>
      <c r="B80" s="13" t="s">
        <v>780</v>
      </c>
      <c r="C80" s="13" t="s">
        <v>461</v>
      </c>
      <c r="D80" s="13" t="s">
        <v>648</v>
      </c>
      <c r="E80" s="7" t="s">
        <v>754</v>
      </c>
      <c r="F80" s="7" t="s">
        <v>781</v>
      </c>
      <c r="G80" s="7" t="s">
        <v>570</v>
      </c>
      <c r="H80" s="7" t="s">
        <v>132</v>
      </c>
      <c r="I80" s="7" t="s">
        <v>782</v>
      </c>
      <c r="J80" s="7" t="s">
        <v>460</v>
      </c>
      <c r="K80" s="7" t="s">
        <v>757</v>
      </c>
      <c r="L80" s="13" t="s">
        <v>573</v>
      </c>
      <c r="M80" s="13" t="s">
        <v>574</v>
      </c>
      <c r="N80" s="7" t="s">
        <v>224</v>
      </c>
    </row>
    <row r="81" customFormat="false" ht="23.85" hidden="false" customHeight="false" outlineLevel="0" collapsed="false">
      <c r="A81" s="13" t="s">
        <v>783</v>
      </c>
      <c r="B81" s="13" t="s">
        <v>784</v>
      </c>
      <c r="C81" s="13" t="s">
        <v>461</v>
      </c>
      <c r="D81" s="13" t="s">
        <v>648</v>
      </c>
      <c r="E81" s="7" t="s">
        <v>754</v>
      </c>
      <c r="F81" s="7" t="s">
        <v>785</v>
      </c>
      <c r="G81" s="7" t="s">
        <v>570</v>
      </c>
      <c r="H81" s="7" t="s">
        <v>132</v>
      </c>
      <c r="I81" s="7" t="s">
        <v>782</v>
      </c>
      <c r="J81" s="7" t="s">
        <v>460</v>
      </c>
      <c r="K81" s="7" t="s">
        <v>757</v>
      </c>
      <c r="L81" s="13" t="s">
        <v>573</v>
      </c>
      <c r="M81" s="13" t="s">
        <v>574</v>
      </c>
      <c r="N81" s="7" t="s">
        <v>224</v>
      </c>
    </row>
    <row r="82" customFormat="false" ht="23.85" hidden="false" customHeight="false" outlineLevel="0" collapsed="false">
      <c r="A82" s="13" t="s">
        <v>786</v>
      </c>
      <c r="B82" s="13" t="s">
        <v>787</v>
      </c>
      <c r="C82" s="13" t="s">
        <v>461</v>
      </c>
      <c r="D82" s="13" t="s">
        <v>648</v>
      </c>
      <c r="E82" s="7" t="s">
        <v>754</v>
      </c>
      <c r="F82" s="7" t="s">
        <v>788</v>
      </c>
      <c r="G82" s="7" t="s">
        <v>570</v>
      </c>
      <c r="H82" s="7" t="s">
        <v>132</v>
      </c>
      <c r="I82" s="7" t="s">
        <v>782</v>
      </c>
      <c r="J82" s="7" t="s">
        <v>460</v>
      </c>
      <c r="K82" s="7" t="s">
        <v>757</v>
      </c>
      <c r="L82" s="13" t="s">
        <v>573</v>
      </c>
      <c r="M82" s="13" t="s">
        <v>574</v>
      </c>
      <c r="N82" s="7" t="s">
        <v>224</v>
      </c>
    </row>
    <row r="83" customFormat="false" ht="23.85" hidden="false" customHeight="false" outlineLevel="0" collapsed="false">
      <c r="A83" s="13" t="s">
        <v>789</v>
      </c>
      <c r="B83" s="13" t="s">
        <v>790</v>
      </c>
      <c r="C83" s="13" t="s">
        <v>461</v>
      </c>
      <c r="D83" s="13" t="s">
        <v>648</v>
      </c>
      <c r="E83" s="7" t="s">
        <v>754</v>
      </c>
      <c r="F83" s="7" t="s">
        <v>791</v>
      </c>
      <c r="G83" s="7" t="s">
        <v>570</v>
      </c>
      <c r="H83" s="7" t="s">
        <v>132</v>
      </c>
      <c r="I83" s="7" t="s">
        <v>792</v>
      </c>
      <c r="J83" s="7" t="s">
        <v>460</v>
      </c>
      <c r="K83" s="7" t="s">
        <v>757</v>
      </c>
      <c r="L83" s="13" t="s">
        <v>573</v>
      </c>
      <c r="M83" s="13" t="s">
        <v>574</v>
      </c>
      <c r="N83" s="7" t="s">
        <v>224</v>
      </c>
    </row>
    <row r="84" customFormat="false" ht="23.85" hidden="false" customHeight="false" outlineLevel="0" collapsed="false">
      <c r="A84" s="13" t="s">
        <v>793</v>
      </c>
      <c r="B84" s="13" t="s">
        <v>794</v>
      </c>
      <c r="C84" s="13" t="s">
        <v>461</v>
      </c>
      <c r="D84" s="13" t="s">
        <v>648</v>
      </c>
      <c r="E84" s="7" t="s">
        <v>754</v>
      </c>
      <c r="F84" s="7" t="s">
        <v>795</v>
      </c>
      <c r="G84" s="7" t="s">
        <v>570</v>
      </c>
      <c r="H84" s="7" t="s">
        <v>132</v>
      </c>
      <c r="I84" s="7" t="s">
        <v>796</v>
      </c>
      <c r="J84" s="7" t="s">
        <v>460</v>
      </c>
      <c r="K84" s="7" t="s">
        <v>757</v>
      </c>
      <c r="L84" s="13" t="s">
        <v>573</v>
      </c>
      <c r="M84" s="13" t="s">
        <v>574</v>
      </c>
      <c r="N84" s="7" t="s">
        <v>224</v>
      </c>
    </row>
    <row r="85" customFormat="false" ht="23.85" hidden="false" customHeight="false" outlineLevel="0" collapsed="false">
      <c r="A85" s="13" t="s">
        <v>797</v>
      </c>
      <c r="B85" s="13" t="s">
        <v>798</v>
      </c>
      <c r="C85" s="13" t="s">
        <v>461</v>
      </c>
      <c r="D85" s="13" t="s">
        <v>648</v>
      </c>
      <c r="E85" s="7" t="s">
        <v>754</v>
      </c>
      <c r="F85" s="7" t="s">
        <v>799</v>
      </c>
      <c r="G85" s="7" t="s">
        <v>570</v>
      </c>
      <c r="H85" s="7" t="s">
        <v>132</v>
      </c>
      <c r="I85" s="7" t="s">
        <v>800</v>
      </c>
      <c r="J85" s="7" t="s">
        <v>460</v>
      </c>
      <c r="K85" s="7" t="s">
        <v>757</v>
      </c>
      <c r="L85" s="13" t="s">
        <v>573</v>
      </c>
      <c r="M85" s="13" t="s">
        <v>574</v>
      </c>
      <c r="N85" s="7" t="s">
        <v>224</v>
      </c>
    </row>
    <row r="86" customFormat="false" ht="23.85" hidden="false" customHeight="false" outlineLevel="0" collapsed="false">
      <c r="A86" s="13" t="s">
        <v>801</v>
      </c>
      <c r="B86" s="13" t="s">
        <v>802</v>
      </c>
      <c r="C86" s="13" t="s">
        <v>461</v>
      </c>
      <c r="D86" s="13" t="s">
        <v>648</v>
      </c>
      <c r="E86" s="7" t="s">
        <v>754</v>
      </c>
      <c r="F86" s="7" t="s">
        <v>803</v>
      </c>
      <c r="G86" s="7" t="s">
        <v>570</v>
      </c>
      <c r="H86" s="7" t="s">
        <v>132</v>
      </c>
      <c r="I86" s="7" t="s">
        <v>804</v>
      </c>
      <c r="J86" s="7" t="s">
        <v>493</v>
      </c>
      <c r="K86" s="7" t="s">
        <v>757</v>
      </c>
      <c r="L86" s="13" t="s">
        <v>573</v>
      </c>
      <c r="M86" s="13" t="s">
        <v>574</v>
      </c>
      <c r="N86" s="7" t="s">
        <v>224</v>
      </c>
    </row>
    <row r="87" customFormat="false" ht="23.85" hidden="false" customHeight="false" outlineLevel="0" collapsed="false">
      <c r="A87" s="13" t="s">
        <v>805</v>
      </c>
      <c r="B87" s="13" t="s">
        <v>806</v>
      </c>
      <c r="C87" s="13" t="s">
        <v>461</v>
      </c>
      <c r="D87" s="13" t="s">
        <v>648</v>
      </c>
      <c r="E87" s="7" t="s">
        <v>754</v>
      </c>
      <c r="F87" s="7" t="s">
        <v>807</v>
      </c>
      <c r="G87" s="7" t="s">
        <v>570</v>
      </c>
      <c r="H87" s="7" t="s">
        <v>132</v>
      </c>
      <c r="I87" s="7" t="s">
        <v>808</v>
      </c>
      <c r="J87" s="7" t="s">
        <v>809</v>
      </c>
      <c r="K87" s="7" t="s">
        <v>757</v>
      </c>
      <c r="L87" s="13" t="s">
        <v>573</v>
      </c>
      <c r="M87" s="13" t="s">
        <v>574</v>
      </c>
      <c r="N87" s="7" t="s">
        <v>224</v>
      </c>
    </row>
  </sheetData>
  <autoFilter ref="A4:N87"/>
  <mergeCells count="1">
    <mergeCell ref="A2:H2"/>
  </mergeCells>
  <conditionalFormatting sqref="A5:N87">
    <cfRule type="expression" priority="2" aboveAverage="0" equalAverage="0" bottom="0" percent="0" rank="0" text="" dxfId="10">
      <formula>MOD(ROW(),2)=1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32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4" min="12" style="0" width="12"/>
    <col collapsed="false" customWidth="true" hidden="false" outlineLevel="0" max="15" min="15" style="0" width="14"/>
    <col collapsed="false" customWidth="true" hidden="false" outlineLevel="0" max="17" min="16" style="0" width="12"/>
    <col collapsed="false" customWidth="true" hidden="false" outlineLevel="0" max="18" min="18" style="0" width="15"/>
    <col collapsed="false" customWidth="true" hidden="false" outlineLevel="0" max="19" min="19" style="0" width="52"/>
  </cols>
  <sheetData>
    <row r="1" customFormat="false" ht="19.7" hidden="false" customHeight="false" outlineLevel="0" collapsed="false">
      <c r="A1" s="1" t="s">
        <v>810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811</v>
      </c>
    </row>
    <row r="4" customFormat="false" ht="42" hidden="false" customHeight="true" outlineLevel="0" collapsed="false">
      <c r="A4" s="12" t="s">
        <v>4</v>
      </c>
      <c r="B4" s="12" t="s">
        <v>6</v>
      </c>
      <c r="C4" s="12" t="s">
        <v>8</v>
      </c>
      <c r="D4" s="12" t="s">
        <v>812</v>
      </c>
      <c r="E4" s="12" t="s">
        <v>813</v>
      </c>
      <c r="F4" s="12" t="s">
        <v>814</v>
      </c>
      <c r="G4" s="12" t="s">
        <v>815</v>
      </c>
      <c r="H4" s="12" t="s">
        <v>816</v>
      </c>
      <c r="I4" s="12" t="s">
        <v>817</v>
      </c>
      <c r="J4" s="12" t="s">
        <v>818</v>
      </c>
      <c r="K4" s="12" t="s">
        <v>819</v>
      </c>
      <c r="L4" s="12" t="s">
        <v>820</v>
      </c>
      <c r="M4" s="12" t="s">
        <v>821</v>
      </c>
      <c r="N4" s="12" t="s">
        <v>822</v>
      </c>
      <c r="O4" s="12" t="s">
        <v>823</v>
      </c>
      <c r="P4" s="12" t="s">
        <v>824</v>
      </c>
      <c r="Q4" s="12" t="s">
        <v>825</v>
      </c>
      <c r="R4" s="12" t="s">
        <v>120</v>
      </c>
      <c r="S4" s="12" t="s">
        <v>826</v>
      </c>
    </row>
    <row r="5" customFormat="false" ht="23.85" hidden="false" customHeight="false" outlineLevel="0" collapsed="false">
      <c r="A5" s="13" t="s">
        <v>205</v>
      </c>
      <c r="B5" s="7" t="s">
        <v>206</v>
      </c>
      <c r="C5" s="13" t="s">
        <v>9</v>
      </c>
      <c r="D5" s="17" t="n">
        <v>46279</v>
      </c>
      <c r="E5" s="7" t="s">
        <v>827</v>
      </c>
      <c r="F5" s="7" t="s">
        <v>828</v>
      </c>
      <c r="G5" s="7" t="s">
        <v>124</v>
      </c>
      <c r="H5" s="7" t="s">
        <v>209</v>
      </c>
      <c r="I5" s="7" t="s">
        <v>829</v>
      </c>
      <c r="J5" s="13" t="n">
        <v>0</v>
      </c>
      <c r="K5" s="13" t="n">
        <v>1</v>
      </c>
      <c r="L5" s="13" t="n">
        <v>0</v>
      </c>
      <c r="M5" s="13" t="n">
        <v>5</v>
      </c>
      <c r="N5" s="13" t="n">
        <f aca="false">COUNTIFS(Findings!$C$5:$C$33,$A5,Findings!$L$5:$L$33,"Confirmed Finding (Simulated)")</f>
        <v>0</v>
      </c>
      <c r="O5" s="13" t="n">
        <f aca="false">COUNTIFS(Findings!$C$5:$C$33,$A5,Findings!$L$5:$L$33,"Observation")</f>
        <v>1</v>
      </c>
      <c r="P5" s="13" t="n">
        <f aca="false">COUNTIFS(Findings!$C$5:$C$33,$A5,Findings!$L$5:$L$33,"Planning Gap")</f>
        <v>0</v>
      </c>
      <c r="Q5" s="13" t="n">
        <f aca="false">COUNTIF('Evidence Requests'!$C$5:$C$87,$A5)</f>
        <v>5</v>
      </c>
      <c r="R5" s="13" t="str">
        <f aca="false">IF(AND(J5=N5,K5=O5,L5=P5,M5=Q5),"Match","Review")</f>
        <v>Match</v>
      </c>
      <c r="S5" s="7" t="s">
        <v>830</v>
      </c>
    </row>
    <row r="6" customFormat="false" ht="23.85" hidden="false" customHeight="false" outlineLevel="0" collapsed="false">
      <c r="A6" s="13" t="s">
        <v>227</v>
      </c>
      <c r="B6" s="7" t="s">
        <v>228</v>
      </c>
      <c r="C6" s="13" t="s">
        <v>9</v>
      </c>
      <c r="D6" s="17" t="n">
        <v>46280</v>
      </c>
      <c r="E6" s="7" t="s">
        <v>831</v>
      </c>
      <c r="F6" s="7" t="s">
        <v>832</v>
      </c>
      <c r="G6" s="7" t="s">
        <v>123</v>
      </c>
      <c r="H6" s="7" t="s">
        <v>231</v>
      </c>
      <c r="I6" s="7" t="s">
        <v>829</v>
      </c>
      <c r="J6" s="13" t="n">
        <v>3</v>
      </c>
      <c r="K6" s="13" t="n">
        <v>0</v>
      </c>
      <c r="L6" s="13" t="n">
        <v>0</v>
      </c>
      <c r="M6" s="13" t="n">
        <v>6</v>
      </c>
      <c r="N6" s="13" t="n">
        <f aca="false">COUNTIFS(Findings!$C$5:$C$33,$A6,Findings!$L$5:$L$33,"Confirmed Finding (Simulated)")</f>
        <v>3</v>
      </c>
      <c r="O6" s="13" t="n">
        <f aca="false">COUNTIFS(Findings!$C$5:$C$33,$A6,Findings!$L$5:$L$33,"Observation")</f>
        <v>0</v>
      </c>
      <c r="P6" s="13" t="n">
        <f aca="false">COUNTIFS(Findings!$C$5:$C$33,$A6,Findings!$L$5:$L$33,"Planning Gap")</f>
        <v>0</v>
      </c>
      <c r="Q6" s="13" t="n">
        <f aca="false">COUNTIF('Evidence Requests'!$C$5:$C$87,$A6)</f>
        <v>6</v>
      </c>
      <c r="R6" s="13" t="str">
        <f aca="false">IF(AND(J6=N6,K6=O6,L6=P6,M6=Q6),"Match","Review")</f>
        <v>Match</v>
      </c>
      <c r="S6" s="7" t="s">
        <v>833</v>
      </c>
    </row>
    <row r="7" customFormat="false" ht="23.85" hidden="false" customHeight="false" outlineLevel="0" collapsed="false">
      <c r="A7" s="13" t="s">
        <v>259</v>
      </c>
      <c r="B7" s="7" t="s">
        <v>260</v>
      </c>
      <c r="C7" s="13" t="s">
        <v>9</v>
      </c>
      <c r="D7" s="17" t="n">
        <v>46280</v>
      </c>
      <c r="E7" s="7" t="s">
        <v>834</v>
      </c>
      <c r="F7" s="7" t="s">
        <v>835</v>
      </c>
      <c r="G7" s="7" t="s">
        <v>125</v>
      </c>
      <c r="H7" s="7" t="s">
        <v>209</v>
      </c>
      <c r="I7" s="7" t="s">
        <v>829</v>
      </c>
      <c r="J7" s="13" t="n">
        <v>0</v>
      </c>
      <c r="K7" s="13" t="n">
        <v>1</v>
      </c>
      <c r="L7" s="13" t="n">
        <v>0</v>
      </c>
      <c r="M7" s="13" t="n">
        <v>7</v>
      </c>
      <c r="N7" s="13" t="n">
        <f aca="false">COUNTIFS(Findings!$C$5:$C$33,$A7,Findings!$L$5:$L$33,"Confirmed Finding (Simulated)")</f>
        <v>0</v>
      </c>
      <c r="O7" s="13" t="n">
        <f aca="false">COUNTIFS(Findings!$C$5:$C$33,$A7,Findings!$L$5:$L$33,"Observation")</f>
        <v>1</v>
      </c>
      <c r="P7" s="13" t="n">
        <f aca="false">COUNTIFS(Findings!$C$5:$C$33,$A7,Findings!$L$5:$L$33,"Planning Gap")</f>
        <v>0</v>
      </c>
      <c r="Q7" s="13" t="n">
        <f aca="false">COUNTIF('Evidence Requests'!$C$5:$C$87,$A7)</f>
        <v>7</v>
      </c>
      <c r="R7" s="13" t="str">
        <f aca="false">IF(AND(J7=N7,K7=O7,L7=P7,M7=Q7),"Match","Review")</f>
        <v>Match</v>
      </c>
      <c r="S7" s="7" t="s">
        <v>836</v>
      </c>
    </row>
    <row r="8" customFormat="false" ht="23.85" hidden="false" customHeight="false" outlineLevel="0" collapsed="false">
      <c r="A8" s="13" t="s">
        <v>274</v>
      </c>
      <c r="B8" s="7" t="s">
        <v>275</v>
      </c>
      <c r="C8" s="13" t="s">
        <v>9</v>
      </c>
      <c r="D8" s="17" t="n">
        <v>46282</v>
      </c>
      <c r="E8" s="7" t="s">
        <v>837</v>
      </c>
      <c r="F8" s="7" t="s">
        <v>838</v>
      </c>
      <c r="G8" s="7" t="s">
        <v>123</v>
      </c>
      <c r="H8" s="7" t="s">
        <v>209</v>
      </c>
      <c r="I8" s="7" t="s">
        <v>17</v>
      </c>
      <c r="J8" s="13" t="n">
        <v>0</v>
      </c>
      <c r="K8" s="13" t="n">
        <v>1</v>
      </c>
      <c r="L8" s="13" t="n">
        <v>0</v>
      </c>
      <c r="M8" s="13" t="n">
        <v>9</v>
      </c>
      <c r="N8" s="13" t="n">
        <f aca="false">COUNTIFS(Findings!$C$5:$C$33,$A8,Findings!$L$5:$L$33,"Confirmed Finding (Simulated)")</f>
        <v>0</v>
      </c>
      <c r="O8" s="13" t="n">
        <f aca="false">COUNTIFS(Findings!$C$5:$C$33,$A8,Findings!$L$5:$L$33,"Observation")</f>
        <v>1</v>
      </c>
      <c r="P8" s="13" t="n">
        <f aca="false">COUNTIFS(Findings!$C$5:$C$33,$A8,Findings!$L$5:$L$33,"Planning Gap")</f>
        <v>0</v>
      </c>
      <c r="Q8" s="13" t="n">
        <f aca="false">COUNTIF('Evidence Requests'!$C$5:$C$87,$A8)</f>
        <v>9</v>
      </c>
      <c r="R8" s="13" t="str">
        <f aca="false">IF(AND(J8=N8,K8=O8,L8=P8,M8=Q8),"Match","Review")</f>
        <v>Match</v>
      </c>
      <c r="S8" s="7" t="s">
        <v>839</v>
      </c>
    </row>
    <row r="9" customFormat="false" ht="23.85" hidden="false" customHeight="false" outlineLevel="0" collapsed="false">
      <c r="A9" s="13" t="s">
        <v>289</v>
      </c>
      <c r="B9" s="7" t="s">
        <v>290</v>
      </c>
      <c r="C9" s="13" t="s">
        <v>9</v>
      </c>
      <c r="D9" s="17" t="n">
        <v>46291</v>
      </c>
      <c r="E9" s="7" t="s">
        <v>840</v>
      </c>
      <c r="F9" s="7" t="s">
        <v>841</v>
      </c>
      <c r="G9" s="7" t="s">
        <v>126</v>
      </c>
      <c r="H9" s="7" t="s">
        <v>231</v>
      </c>
      <c r="I9" s="7" t="s">
        <v>17</v>
      </c>
      <c r="J9" s="13" t="n">
        <v>2</v>
      </c>
      <c r="K9" s="13" t="n">
        <v>2</v>
      </c>
      <c r="L9" s="13" t="n">
        <v>0</v>
      </c>
      <c r="M9" s="13" t="n">
        <v>7</v>
      </c>
      <c r="N9" s="13" t="n">
        <f aca="false">COUNTIFS(Findings!$C$5:$C$33,$A9,Findings!$L$5:$L$33,"Confirmed Finding (Simulated)")</f>
        <v>2</v>
      </c>
      <c r="O9" s="13" t="n">
        <f aca="false">COUNTIFS(Findings!$C$5:$C$33,$A9,Findings!$L$5:$L$33,"Observation")</f>
        <v>2</v>
      </c>
      <c r="P9" s="13" t="n">
        <f aca="false">COUNTIFS(Findings!$C$5:$C$33,$A9,Findings!$L$5:$L$33,"Planning Gap")</f>
        <v>0</v>
      </c>
      <c r="Q9" s="13" t="n">
        <f aca="false">COUNTIF('Evidence Requests'!$C$5:$C$87,$A9)</f>
        <v>7</v>
      </c>
      <c r="R9" s="13" t="str">
        <f aca="false">IF(AND(J9=N9,K9=O9,L9=P9,M9=Q9),"Match","Review")</f>
        <v>Match</v>
      </c>
      <c r="S9" s="7" t="s">
        <v>842</v>
      </c>
    </row>
    <row r="10" customFormat="false" ht="15" hidden="false" customHeight="false" outlineLevel="0" collapsed="false">
      <c r="A10" s="13" t="s">
        <v>335</v>
      </c>
      <c r="B10" s="7" t="s">
        <v>336</v>
      </c>
      <c r="C10" s="13" t="s">
        <v>9</v>
      </c>
      <c r="D10" s="17" t="n">
        <v>46291</v>
      </c>
      <c r="E10" s="7" t="s">
        <v>843</v>
      </c>
      <c r="F10" s="7" t="s">
        <v>844</v>
      </c>
      <c r="G10" s="7" t="s">
        <v>127</v>
      </c>
      <c r="H10" s="7" t="s">
        <v>231</v>
      </c>
      <c r="I10" s="7" t="s">
        <v>17</v>
      </c>
      <c r="J10" s="13" t="n">
        <v>2</v>
      </c>
      <c r="K10" s="13" t="n">
        <v>2</v>
      </c>
      <c r="L10" s="13" t="n">
        <v>0</v>
      </c>
      <c r="M10" s="13" t="n">
        <v>7</v>
      </c>
      <c r="N10" s="13" t="n">
        <f aca="false">COUNTIFS(Findings!$C$5:$C$33,$A10,Findings!$L$5:$L$33,"Confirmed Finding (Simulated)")</f>
        <v>2</v>
      </c>
      <c r="O10" s="13" t="n">
        <f aca="false">COUNTIFS(Findings!$C$5:$C$33,$A10,Findings!$L$5:$L$33,"Observation")</f>
        <v>2</v>
      </c>
      <c r="P10" s="13" t="n">
        <f aca="false">COUNTIFS(Findings!$C$5:$C$33,$A10,Findings!$L$5:$L$33,"Planning Gap")</f>
        <v>0</v>
      </c>
      <c r="Q10" s="13" t="n">
        <f aca="false">COUNTIF('Evidence Requests'!$C$5:$C$87,$A10)</f>
        <v>7</v>
      </c>
      <c r="R10" s="13" t="str">
        <f aca="false">IF(AND(J10=N10,K10=O10,L10=P10,M10=Q10),"Match","Review")</f>
        <v>Match</v>
      </c>
      <c r="S10" s="7" t="s">
        <v>845</v>
      </c>
    </row>
    <row r="11" customFormat="false" ht="15" hidden="false" customHeight="false" outlineLevel="0" collapsed="false">
      <c r="A11" s="13" t="s">
        <v>372</v>
      </c>
      <c r="B11" s="7" t="s">
        <v>373</v>
      </c>
      <c r="C11" s="13" t="s">
        <v>9</v>
      </c>
      <c r="D11" s="17" t="n">
        <v>46291</v>
      </c>
      <c r="E11" s="7" t="s">
        <v>846</v>
      </c>
      <c r="F11" s="7" t="s">
        <v>847</v>
      </c>
      <c r="G11" s="7" t="s">
        <v>128</v>
      </c>
      <c r="H11" s="7" t="s">
        <v>209</v>
      </c>
      <c r="I11" s="7" t="s">
        <v>17</v>
      </c>
      <c r="J11" s="13" t="n">
        <v>0</v>
      </c>
      <c r="K11" s="13" t="n">
        <v>1</v>
      </c>
      <c r="L11" s="13" t="n">
        <v>0</v>
      </c>
      <c r="M11" s="13" t="n">
        <v>8</v>
      </c>
      <c r="N11" s="13" t="n">
        <f aca="false">COUNTIFS(Findings!$C$5:$C$33,$A11,Findings!$L$5:$L$33,"Confirmed Finding (Simulated)")</f>
        <v>0</v>
      </c>
      <c r="O11" s="13" t="n">
        <f aca="false">COUNTIFS(Findings!$C$5:$C$33,$A11,Findings!$L$5:$L$33,"Observation")</f>
        <v>1</v>
      </c>
      <c r="P11" s="13" t="n">
        <f aca="false">COUNTIFS(Findings!$C$5:$C$33,$A11,Findings!$L$5:$L$33,"Planning Gap")</f>
        <v>0</v>
      </c>
      <c r="Q11" s="13" t="n">
        <f aca="false">COUNTIF('Evidence Requests'!$C$5:$C$87,$A11)</f>
        <v>8</v>
      </c>
      <c r="R11" s="13" t="str">
        <f aca="false">IF(AND(J11=N11,K11=O11,L11=P11,M11=Q11),"Match","Review")</f>
        <v>Match</v>
      </c>
      <c r="S11" s="7" t="s">
        <v>848</v>
      </c>
    </row>
    <row r="12" customFormat="false" ht="35.05" hidden="false" customHeight="false" outlineLevel="0" collapsed="false">
      <c r="A12" s="13" t="s">
        <v>386</v>
      </c>
      <c r="B12" s="7" t="s">
        <v>387</v>
      </c>
      <c r="C12" s="13" t="s">
        <v>9</v>
      </c>
      <c r="D12" s="17" t="n">
        <v>46291</v>
      </c>
      <c r="E12" s="7" t="s">
        <v>849</v>
      </c>
      <c r="F12" s="7" t="s">
        <v>850</v>
      </c>
      <c r="G12" s="7" t="s">
        <v>129</v>
      </c>
      <c r="H12" s="7" t="s">
        <v>231</v>
      </c>
      <c r="I12" s="7" t="s">
        <v>17</v>
      </c>
      <c r="J12" s="13" t="n">
        <v>2</v>
      </c>
      <c r="K12" s="13" t="n">
        <v>3</v>
      </c>
      <c r="L12" s="13" t="n">
        <v>0</v>
      </c>
      <c r="M12" s="13" t="n">
        <v>8</v>
      </c>
      <c r="N12" s="13" t="n">
        <f aca="false">COUNTIFS(Findings!$C$5:$C$33,$A12,Findings!$L$5:$L$33,"Confirmed Finding (Simulated)")</f>
        <v>2</v>
      </c>
      <c r="O12" s="13" t="n">
        <f aca="false">COUNTIFS(Findings!$C$5:$C$33,$A12,Findings!$L$5:$L$33,"Observation")</f>
        <v>3</v>
      </c>
      <c r="P12" s="13" t="n">
        <f aca="false">COUNTIFS(Findings!$C$5:$C$33,$A12,Findings!$L$5:$L$33,"Planning Gap")</f>
        <v>0</v>
      </c>
      <c r="Q12" s="13" t="n">
        <f aca="false">COUNTIF('Evidence Requests'!$C$5:$C$87,$A12)</f>
        <v>8</v>
      </c>
      <c r="R12" s="13" t="str">
        <f aca="false">IF(AND(J12=N12,K12=O12,L12=P12,M12=Q12),"Match","Review")</f>
        <v>Match</v>
      </c>
      <c r="S12" s="7" t="s">
        <v>851</v>
      </c>
    </row>
    <row r="13" customFormat="false" ht="35.05" hidden="false" customHeight="false" outlineLevel="0" collapsed="false">
      <c r="A13" s="13" t="s">
        <v>428</v>
      </c>
      <c r="B13" s="7" t="s">
        <v>429</v>
      </c>
      <c r="C13" s="13" t="s">
        <v>9</v>
      </c>
      <c r="D13" s="17" t="n">
        <v>46292</v>
      </c>
      <c r="E13" s="7" t="s">
        <v>852</v>
      </c>
      <c r="F13" s="7" t="s">
        <v>853</v>
      </c>
      <c r="G13" s="7" t="s">
        <v>131</v>
      </c>
      <c r="H13" s="7" t="s">
        <v>854</v>
      </c>
      <c r="I13" s="7" t="s">
        <v>17</v>
      </c>
      <c r="J13" s="13" t="n">
        <v>0</v>
      </c>
      <c r="K13" s="13" t="n">
        <v>0</v>
      </c>
      <c r="L13" s="13" t="n">
        <v>4</v>
      </c>
      <c r="M13" s="13" t="n">
        <v>12</v>
      </c>
      <c r="N13" s="13" t="n">
        <f aca="false">COUNTIFS(Findings!$C$5:$C$33,$A13,Findings!$L$5:$L$33,"Confirmed Finding (Simulated)")</f>
        <v>0</v>
      </c>
      <c r="O13" s="13" t="n">
        <f aca="false">COUNTIFS(Findings!$C$5:$C$33,$A13,Findings!$L$5:$L$33,"Observation")</f>
        <v>0</v>
      </c>
      <c r="P13" s="13" t="n">
        <f aca="false">COUNTIFS(Findings!$C$5:$C$33,$A13,Findings!$L$5:$L$33,"Planning Gap")</f>
        <v>4</v>
      </c>
      <c r="Q13" s="13" t="n">
        <f aca="false">COUNTIF('Evidence Requests'!$C$5:$C$87,$A13)</f>
        <v>12</v>
      </c>
      <c r="R13" s="13" t="str">
        <f aca="false">IF(AND(J13=N13,K13=O13,L13=P13,M13=Q13),"Match","Review")</f>
        <v>Match</v>
      </c>
      <c r="S13" s="7" t="s">
        <v>855</v>
      </c>
    </row>
    <row r="14" customFormat="false" ht="23.85" hidden="false" customHeight="false" outlineLevel="0" collapsed="false">
      <c r="A14" s="13" t="s">
        <v>461</v>
      </c>
      <c r="B14" s="7" t="s">
        <v>462</v>
      </c>
      <c r="C14" s="13" t="s">
        <v>9</v>
      </c>
      <c r="D14" s="17" t="n">
        <v>46292</v>
      </c>
      <c r="E14" s="7" t="s">
        <v>856</v>
      </c>
      <c r="F14" s="7" t="s">
        <v>857</v>
      </c>
      <c r="G14" s="7" t="s">
        <v>130</v>
      </c>
      <c r="H14" s="7" t="s">
        <v>464</v>
      </c>
      <c r="I14" s="7" t="s">
        <v>17</v>
      </c>
      <c r="J14" s="13" t="n">
        <v>3</v>
      </c>
      <c r="K14" s="13" t="n">
        <v>2</v>
      </c>
      <c r="L14" s="13" t="n">
        <v>0</v>
      </c>
      <c r="M14" s="13" t="n">
        <v>14</v>
      </c>
      <c r="N14" s="13" t="n">
        <f aca="false">COUNTIFS(Findings!$C$5:$C$33,$A14,Findings!$L$5:$L$33,"Confirmed Finding (Simulated)")</f>
        <v>3</v>
      </c>
      <c r="O14" s="13" t="n">
        <f aca="false">COUNTIFS(Findings!$C$5:$C$33,$A14,Findings!$L$5:$L$33,"Observation")</f>
        <v>2</v>
      </c>
      <c r="P14" s="13" t="n">
        <f aca="false">COUNTIFS(Findings!$C$5:$C$33,$A14,Findings!$L$5:$L$33,"Planning Gap")</f>
        <v>0</v>
      </c>
      <c r="Q14" s="13" t="n">
        <f aca="false">COUNTIF('Evidence Requests'!$C$5:$C$87,$A14)</f>
        <v>14</v>
      </c>
      <c r="R14" s="13" t="str">
        <f aca="false">IF(AND(J14=N14,K14=O14,L14=P14,M14=Q14),"Match","Review")</f>
        <v>Match</v>
      </c>
      <c r="S14" s="7" t="s">
        <v>858</v>
      </c>
    </row>
    <row r="16" customFormat="false" ht="15" hidden="false" customHeight="false" outlineLevel="0" collapsed="false">
      <c r="A16" s="10" t="s">
        <v>859</v>
      </c>
      <c r="J16" s="15" t="n">
        <f aca="false">SUM(J5:J14)</f>
        <v>12</v>
      </c>
      <c r="K16" s="15" t="n">
        <f aca="false">SUM(K5:K14)</f>
        <v>13</v>
      </c>
      <c r="L16" s="15" t="n">
        <f aca="false">SUM(L5:L14)</f>
        <v>4</v>
      </c>
      <c r="M16" s="15" t="n">
        <f aca="false">SUM(M5:M14)</f>
        <v>83</v>
      </c>
      <c r="N16" s="15" t="n">
        <f aca="false">SUM(N5:N14)</f>
        <v>12</v>
      </c>
      <c r="O16" s="15" t="n">
        <f aca="false">SUM(O5:O14)</f>
        <v>13</v>
      </c>
      <c r="P16" s="15" t="n">
        <f aca="false">SUM(P5:P14)</f>
        <v>4</v>
      </c>
      <c r="Q16" s="15" t="n">
        <f aca="false">SUM(Q5:Q14)</f>
        <v>83</v>
      </c>
      <c r="R16" s="18" t="str">
        <f aca="false">IF(COUNTIF(R5:R14,"Match")=10,"All Match","Review")</f>
        <v>All Match</v>
      </c>
    </row>
    <row r="18" customFormat="false" ht="15" hidden="false" customHeight="false" outlineLevel="0" collapsed="false">
      <c r="A18" s="3" t="s">
        <v>860</v>
      </c>
    </row>
  </sheetData>
  <autoFilter ref="A4:S14"/>
  <mergeCells count="1">
    <mergeCell ref="A2:H2"/>
  </mergeCells>
  <conditionalFormatting sqref="R5:R16">
    <cfRule type="expression" priority="2" aboveAverage="0" equalAverage="0" bottom="0" percent="0" rank="0" text="" dxfId="16">
      <formula>OR(R5="Match",R5="All Match")</formula>
    </cfRule>
    <cfRule type="expression" priority="3" aboveAverage="0" equalAverage="0" bottom="0" percent="0" rank="0" text="" dxfId="19">
      <formula>R5="Review"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6"/>
    <col collapsed="false" customWidth="true" hidden="false" outlineLevel="0" max="9" min="9" style="0" width="44"/>
  </cols>
  <sheetData>
    <row r="1" customFormat="false" ht="19.7" hidden="false" customHeight="false" outlineLevel="0" collapsed="false">
      <c r="A1" s="1" t="s">
        <v>55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861</v>
      </c>
    </row>
    <row r="5" customFormat="false" ht="15" hidden="false" customHeight="false" outlineLevel="0" collapsed="false">
      <c r="A5" s="4" t="s">
        <v>862</v>
      </c>
      <c r="B5" s="5"/>
      <c r="C5" s="5"/>
      <c r="D5" s="5"/>
      <c r="E5" s="5"/>
      <c r="F5" s="5"/>
      <c r="G5" s="5"/>
      <c r="H5" s="5"/>
      <c r="I5" s="5"/>
    </row>
    <row r="6" customFormat="false" ht="31.5" hidden="false" customHeight="true" outlineLevel="0" collapsed="false">
      <c r="A6" s="12" t="s">
        <v>863</v>
      </c>
      <c r="B6" s="12" t="s">
        <v>864</v>
      </c>
      <c r="C6" s="12" t="s">
        <v>865</v>
      </c>
      <c r="D6" s="12" t="s">
        <v>866</v>
      </c>
      <c r="E6" s="12" t="s">
        <v>14</v>
      </c>
      <c r="F6" s="12" t="s">
        <v>867</v>
      </c>
      <c r="G6" s="12" t="s">
        <v>868</v>
      </c>
      <c r="H6" s="12" t="s">
        <v>149</v>
      </c>
    </row>
    <row r="7" customFormat="false" ht="15" hidden="false" customHeight="false" outlineLevel="0" collapsed="false">
      <c r="A7" s="13" t="s">
        <v>869</v>
      </c>
      <c r="B7" s="7" t="s">
        <v>870</v>
      </c>
      <c r="C7" s="7" t="s">
        <v>871</v>
      </c>
      <c r="D7" s="13" t="s">
        <v>872</v>
      </c>
      <c r="E7" s="13" t="s">
        <v>873</v>
      </c>
      <c r="F7" s="13" t="s">
        <v>874</v>
      </c>
      <c r="G7" s="13" t="n">
        <f aca="false">COUNTIF(Findings!$H$5:$H$33,"*"&amp;A7&amp;"*")</f>
        <v>23</v>
      </c>
      <c r="H7" s="7" t="s">
        <v>875</v>
      </c>
    </row>
    <row r="8" customFormat="false" ht="15" hidden="false" customHeight="false" outlineLevel="0" collapsed="false">
      <c r="A8" s="13" t="s">
        <v>876</v>
      </c>
      <c r="B8" s="7" t="s">
        <v>877</v>
      </c>
      <c r="C8" s="7" t="s">
        <v>878</v>
      </c>
      <c r="D8" s="13" t="s">
        <v>879</v>
      </c>
      <c r="E8" s="13" t="s">
        <v>111</v>
      </c>
      <c r="F8" s="13" t="s">
        <v>874</v>
      </c>
      <c r="G8" s="13" t="n">
        <f aca="false">COUNTIF(Findings!$H$5:$H$33,"*"&amp;A8&amp;"*")</f>
        <v>17</v>
      </c>
      <c r="H8" s="7" t="s">
        <v>124</v>
      </c>
    </row>
    <row r="9" customFormat="false" ht="15" hidden="false" customHeight="false" outlineLevel="0" collapsed="false">
      <c r="A9" s="13" t="s">
        <v>880</v>
      </c>
      <c r="B9" s="7" t="s">
        <v>881</v>
      </c>
      <c r="C9" s="7" t="s">
        <v>882</v>
      </c>
      <c r="D9" s="13" t="s">
        <v>883</v>
      </c>
      <c r="E9" s="13" t="s">
        <v>113</v>
      </c>
      <c r="F9" s="13" t="s">
        <v>884</v>
      </c>
      <c r="G9" s="13" t="n">
        <f aca="false">COUNTIF(Findings!$H$5:$H$33,"*"&amp;A9&amp;"*")</f>
        <v>1</v>
      </c>
      <c r="H9" s="7" t="s">
        <v>885</v>
      </c>
    </row>
    <row r="10" customFormat="false" ht="23.85" hidden="false" customHeight="false" outlineLevel="0" collapsed="false">
      <c r="A10" s="13" t="s">
        <v>886</v>
      </c>
      <c r="B10" s="7" t="s">
        <v>887</v>
      </c>
      <c r="C10" s="7" t="s">
        <v>888</v>
      </c>
      <c r="D10" s="13" t="s">
        <v>889</v>
      </c>
      <c r="E10" s="13" t="s">
        <v>113</v>
      </c>
      <c r="F10" s="13" t="s">
        <v>884</v>
      </c>
      <c r="G10" s="13" t="n">
        <f aca="false">COUNTIF(Findings!$H$5:$H$33,"*"&amp;A10&amp;"*")</f>
        <v>1</v>
      </c>
      <c r="H10" s="7" t="s">
        <v>890</v>
      </c>
    </row>
    <row r="11" customFormat="false" ht="23.85" hidden="false" customHeight="false" outlineLevel="0" collapsed="false">
      <c r="A11" s="13" t="s">
        <v>891</v>
      </c>
      <c r="B11" s="7" t="s">
        <v>887</v>
      </c>
      <c r="C11" s="7" t="s">
        <v>892</v>
      </c>
      <c r="D11" s="13" t="s">
        <v>893</v>
      </c>
      <c r="E11" s="13" t="s">
        <v>114</v>
      </c>
      <c r="F11" s="13" t="s">
        <v>874</v>
      </c>
      <c r="G11" s="13" t="n">
        <f aca="false">COUNTIF(Findings!$H$5:$H$33,"*"&amp;A11&amp;"*")</f>
        <v>0</v>
      </c>
      <c r="H11" s="7" t="s">
        <v>894</v>
      </c>
    </row>
    <row r="12" customFormat="false" ht="23.85" hidden="false" customHeight="false" outlineLevel="0" collapsed="false">
      <c r="A12" s="13" t="s">
        <v>895</v>
      </c>
      <c r="B12" s="7" t="s">
        <v>887</v>
      </c>
      <c r="C12" s="7" t="s">
        <v>896</v>
      </c>
      <c r="D12" s="13" t="s">
        <v>883</v>
      </c>
      <c r="E12" s="13" t="s">
        <v>113</v>
      </c>
      <c r="F12" s="13" t="s">
        <v>897</v>
      </c>
      <c r="G12" s="13" t="n">
        <f aca="false">COUNTIF(Findings!$H$5:$H$33,"*"&amp;A12&amp;"*")</f>
        <v>5</v>
      </c>
      <c r="H12" s="7" t="s">
        <v>898</v>
      </c>
    </row>
    <row r="13" customFormat="false" ht="23.85" hidden="false" customHeight="false" outlineLevel="0" collapsed="false">
      <c r="A13" s="13" t="s">
        <v>899</v>
      </c>
      <c r="B13" s="7" t="s">
        <v>887</v>
      </c>
      <c r="C13" s="7" t="s">
        <v>900</v>
      </c>
      <c r="D13" s="13" t="s">
        <v>901</v>
      </c>
      <c r="E13" s="13" t="s">
        <v>111</v>
      </c>
      <c r="F13" s="13" t="s">
        <v>874</v>
      </c>
      <c r="G13" s="13" t="n">
        <f aca="false">COUNTIF(Findings!$H$5:$H$33,"*"&amp;A13&amp;"*")</f>
        <v>5</v>
      </c>
      <c r="H13" s="7" t="s">
        <v>902</v>
      </c>
    </row>
    <row r="14" customFormat="false" ht="23.85" hidden="false" customHeight="false" outlineLevel="0" collapsed="false">
      <c r="A14" s="13" t="s">
        <v>903</v>
      </c>
      <c r="B14" s="7" t="s">
        <v>887</v>
      </c>
      <c r="C14" s="7" t="s">
        <v>904</v>
      </c>
      <c r="D14" s="13" t="s">
        <v>883</v>
      </c>
      <c r="E14" s="13" t="s">
        <v>113</v>
      </c>
      <c r="F14" s="13" t="s">
        <v>897</v>
      </c>
      <c r="G14" s="13" t="n">
        <f aca="false">COUNTIF(Findings!$H$5:$H$33,"*"&amp;A14&amp;"*")</f>
        <v>1</v>
      </c>
      <c r="H14" s="7" t="s">
        <v>898</v>
      </c>
    </row>
    <row r="15" customFormat="false" ht="23.85" hidden="false" customHeight="false" outlineLevel="0" collapsed="false">
      <c r="A15" s="13" t="s">
        <v>905</v>
      </c>
      <c r="B15" s="7" t="s">
        <v>887</v>
      </c>
      <c r="C15" s="7" t="s">
        <v>906</v>
      </c>
      <c r="D15" s="13" t="s">
        <v>879</v>
      </c>
      <c r="E15" s="13" t="s">
        <v>111</v>
      </c>
      <c r="F15" s="13" t="s">
        <v>907</v>
      </c>
      <c r="G15" s="13" t="n">
        <f aca="false">COUNTIF(Findings!$H$5:$H$33,"*"&amp;A15&amp;"*")</f>
        <v>6</v>
      </c>
      <c r="H15" s="7" t="s">
        <v>908</v>
      </c>
    </row>
    <row r="16" customFormat="false" ht="23.85" hidden="false" customHeight="false" outlineLevel="0" collapsed="false">
      <c r="A16" s="13" t="s">
        <v>909</v>
      </c>
      <c r="B16" s="7" t="s">
        <v>887</v>
      </c>
      <c r="C16" s="7" t="s">
        <v>910</v>
      </c>
      <c r="D16" s="13" t="s">
        <v>889</v>
      </c>
      <c r="E16" s="13" t="s">
        <v>111</v>
      </c>
      <c r="F16" s="13" t="s">
        <v>907</v>
      </c>
      <c r="G16" s="13" t="n">
        <f aca="false">COUNTIF(Findings!$H$5:$H$33,"*"&amp;A16&amp;"*")</f>
        <v>2</v>
      </c>
      <c r="H16" s="7" t="s">
        <v>911</v>
      </c>
    </row>
    <row r="17" customFormat="false" ht="23.85" hidden="false" customHeight="false" outlineLevel="0" collapsed="false">
      <c r="A17" s="13" t="s">
        <v>912</v>
      </c>
      <c r="B17" s="7" t="s">
        <v>887</v>
      </c>
      <c r="C17" s="7" t="s">
        <v>913</v>
      </c>
      <c r="D17" s="13" t="s">
        <v>893</v>
      </c>
      <c r="E17" s="13" t="s">
        <v>114</v>
      </c>
      <c r="F17" s="13" t="s">
        <v>897</v>
      </c>
      <c r="G17" s="13" t="n">
        <f aca="false">COUNTIF(Findings!$H$5:$H$33,"*"&amp;A17&amp;"*")</f>
        <v>0</v>
      </c>
      <c r="H17" s="7" t="s">
        <v>914</v>
      </c>
    </row>
    <row r="19" customFormat="false" ht="15" hidden="false" customHeight="false" outlineLevel="0" collapsed="false">
      <c r="A19" s="4" t="s">
        <v>915</v>
      </c>
      <c r="B19" s="5"/>
      <c r="C19" s="5"/>
      <c r="D19" s="5"/>
      <c r="E19" s="5"/>
      <c r="F19" s="5"/>
      <c r="G19" s="5"/>
      <c r="H19" s="5"/>
      <c r="I19" s="5"/>
    </row>
    <row r="20" customFormat="false" ht="31.5" hidden="false" customHeight="true" outlineLevel="0" collapsed="false">
      <c r="A20" s="12" t="s">
        <v>863</v>
      </c>
      <c r="B20" s="12" t="s">
        <v>864</v>
      </c>
      <c r="C20" s="12" t="s">
        <v>916</v>
      </c>
      <c r="D20" s="12" t="s">
        <v>917</v>
      </c>
      <c r="E20" s="12" t="s">
        <v>918</v>
      </c>
      <c r="F20" s="12" t="s">
        <v>919</v>
      </c>
      <c r="G20" s="12" t="s">
        <v>920</v>
      </c>
      <c r="H20" s="12" t="s">
        <v>149</v>
      </c>
      <c r="I20" s="12" t="s">
        <v>921</v>
      </c>
    </row>
    <row r="21" customFormat="false" ht="15" hidden="false" customHeight="false" outlineLevel="0" collapsed="false">
      <c r="A21" s="7" t="s">
        <v>922</v>
      </c>
      <c r="B21" s="7" t="s">
        <v>923</v>
      </c>
      <c r="C21" s="7" t="s">
        <v>924</v>
      </c>
      <c r="D21" s="13" t="s">
        <v>925</v>
      </c>
      <c r="E21" s="13" t="s">
        <v>926</v>
      </c>
      <c r="F21" s="13" t="n">
        <v>3</v>
      </c>
      <c r="G21" s="13" t="n">
        <v>5</v>
      </c>
      <c r="H21" s="7" t="s">
        <v>875</v>
      </c>
      <c r="I21" s="7" t="s">
        <v>927</v>
      </c>
    </row>
    <row r="22" customFormat="false" ht="23.85" hidden="false" customHeight="false" outlineLevel="0" collapsed="false">
      <c r="A22" s="7" t="s">
        <v>928</v>
      </c>
      <c r="B22" s="7" t="s">
        <v>929</v>
      </c>
      <c r="C22" s="7" t="s">
        <v>930</v>
      </c>
      <c r="D22" s="13" t="s">
        <v>925</v>
      </c>
      <c r="E22" s="13" t="s">
        <v>926</v>
      </c>
      <c r="F22" s="13" t="n">
        <v>3</v>
      </c>
      <c r="G22" s="13" t="n">
        <v>4</v>
      </c>
      <c r="H22" s="7" t="s">
        <v>124</v>
      </c>
      <c r="I22" s="7" t="s">
        <v>931</v>
      </c>
    </row>
    <row r="23" customFormat="false" ht="23.85" hidden="false" customHeight="false" outlineLevel="0" collapsed="false">
      <c r="A23" s="7" t="s">
        <v>932</v>
      </c>
      <c r="B23" s="7" t="s">
        <v>933</v>
      </c>
      <c r="C23" s="7" t="s">
        <v>934</v>
      </c>
      <c r="D23" s="13" t="s">
        <v>935</v>
      </c>
      <c r="E23" s="13" t="s">
        <v>936</v>
      </c>
      <c r="F23" s="13" t="n">
        <v>3</v>
      </c>
      <c r="G23" s="13" t="n">
        <v>4</v>
      </c>
      <c r="H23" s="7" t="s">
        <v>885</v>
      </c>
      <c r="I23" s="7" t="s">
        <v>937</v>
      </c>
    </row>
    <row r="24" customFormat="false" ht="23.85" hidden="false" customHeight="false" outlineLevel="0" collapsed="false">
      <c r="A24" s="7" t="s">
        <v>938</v>
      </c>
      <c r="B24" s="7" t="s">
        <v>887</v>
      </c>
      <c r="C24" s="7" t="s">
        <v>939</v>
      </c>
      <c r="D24" s="13" t="s">
        <v>940</v>
      </c>
      <c r="E24" s="13" t="s">
        <v>926</v>
      </c>
      <c r="F24" s="13" t="n">
        <v>4</v>
      </c>
      <c r="G24" s="13" t="n">
        <v>3</v>
      </c>
      <c r="H24" s="7" t="s">
        <v>890</v>
      </c>
      <c r="I24" s="7" t="s">
        <v>941</v>
      </c>
    </row>
    <row r="25" customFormat="false" ht="23.85" hidden="false" customHeight="false" outlineLevel="0" collapsed="false">
      <c r="A25" s="7" t="s">
        <v>942</v>
      </c>
      <c r="B25" s="7" t="s">
        <v>887</v>
      </c>
      <c r="C25" s="7" t="s">
        <v>943</v>
      </c>
      <c r="D25" s="13" t="s">
        <v>944</v>
      </c>
      <c r="E25" s="13" t="s">
        <v>936</v>
      </c>
      <c r="F25" s="13" t="n">
        <v>3</v>
      </c>
      <c r="G25" s="13" t="n">
        <v>4</v>
      </c>
      <c r="H25" s="7" t="s">
        <v>898</v>
      </c>
      <c r="I25" s="7" t="s">
        <v>945</v>
      </c>
    </row>
    <row r="26" customFormat="false" ht="23.85" hidden="false" customHeight="false" outlineLevel="0" collapsed="false">
      <c r="A26" s="7" t="s">
        <v>946</v>
      </c>
      <c r="B26" s="7" t="s">
        <v>887</v>
      </c>
      <c r="C26" s="7" t="s">
        <v>947</v>
      </c>
      <c r="D26" s="13" t="s">
        <v>935</v>
      </c>
      <c r="E26" s="13" t="s">
        <v>936</v>
      </c>
      <c r="F26" s="13" t="n">
        <v>2</v>
      </c>
      <c r="G26" s="13" t="n">
        <v>5</v>
      </c>
      <c r="H26" s="7" t="s">
        <v>902</v>
      </c>
      <c r="I26" s="7" t="s">
        <v>948</v>
      </c>
    </row>
    <row r="27" customFormat="false" ht="23.85" hidden="false" customHeight="false" outlineLevel="0" collapsed="false">
      <c r="A27" s="7" t="s">
        <v>949</v>
      </c>
      <c r="B27" s="7" t="s">
        <v>887</v>
      </c>
      <c r="C27" s="7" t="s">
        <v>950</v>
      </c>
      <c r="D27" s="13" t="s">
        <v>951</v>
      </c>
      <c r="E27" s="13" t="s">
        <v>926</v>
      </c>
      <c r="F27" s="13" t="n">
        <v>2</v>
      </c>
      <c r="G27" s="13" t="n">
        <v>5</v>
      </c>
      <c r="H27" s="7" t="s">
        <v>911</v>
      </c>
      <c r="I27" s="7" t="s">
        <v>952</v>
      </c>
    </row>
    <row r="28" customFormat="false" ht="23.85" hidden="false" customHeight="false" outlineLevel="0" collapsed="false">
      <c r="A28" s="7" t="s">
        <v>953</v>
      </c>
      <c r="B28" s="7" t="s">
        <v>887</v>
      </c>
      <c r="C28" s="7" t="s">
        <v>954</v>
      </c>
      <c r="D28" s="13" t="s">
        <v>925</v>
      </c>
      <c r="E28" s="13" t="s">
        <v>926</v>
      </c>
      <c r="F28" s="13" t="n">
        <v>2</v>
      </c>
      <c r="G28" s="13" t="n">
        <v>4</v>
      </c>
      <c r="H28" s="7" t="s">
        <v>908</v>
      </c>
      <c r="I28" s="7" t="s">
        <v>955</v>
      </c>
    </row>
    <row r="29" customFormat="false" ht="23.85" hidden="false" customHeight="false" outlineLevel="0" collapsed="false">
      <c r="A29" s="7" t="s">
        <v>942</v>
      </c>
      <c r="B29" s="7" t="s">
        <v>887</v>
      </c>
      <c r="C29" s="7" t="s">
        <v>956</v>
      </c>
      <c r="D29" s="13" t="s">
        <v>957</v>
      </c>
      <c r="E29" s="13" t="s">
        <v>958</v>
      </c>
      <c r="F29" s="13" t="n">
        <v>3</v>
      </c>
      <c r="G29" s="13" t="n">
        <v>2</v>
      </c>
      <c r="H29" s="7" t="s">
        <v>894</v>
      </c>
      <c r="I29" s="7" t="s">
        <v>959</v>
      </c>
    </row>
    <row r="30" customFormat="false" ht="23.85" hidden="false" customHeight="false" outlineLevel="0" collapsed="false">
      <c r="A30" s="7" t="s">
        <v>942</v>
      </c>
      <c r="B30" s="7" t="s">
        <v>887</v>
      </c>
      <c r="C30" s="7" t="s">
        <v>960</v>
      </c>
      <c r="D30" s="13" t="s">
        <v>935</v>
      </c>
      <c r="E30" s="13" t="s">
        <v>958</v>
      </c>
      <c r="F30" s="13" t="n">
        <v>2</v>
      </c>
      <c r="G30" s="13" t="n">
        <v>3</v>
      </c>
      <c r="H30" s="7" t="s">
        <v>898</v>
      </c>
      <c r="I30" s="7" t="s">
        <v>961</v>
      </c>
    </row>
    <row r="31" customFormat="false" ht="23.85" hidden="false" customHeight="false" outlineLevel="0" collapsed="false">
      <c r="A31" s="7" t="s">
        <v>942</v>
      </c>
      <c r="B31" s="7" t="s">
        <v>887</v>
      </c>
      <c r="C31" s="7" t="s">
        <v>962</v>
      </c>
      <c r="D31" s="13" t="s">
        <v>957</v>
      </c>
      <c r="E31" s="13" t="s">
        <v>958</v>
      </c>
      <c r="F31" s="13" t="n">
        <v>3</v>
      </c>
      <c r="G31" s="13" t="n">
        <v>2</v>
      </c>
      <c r="H31" s="7" t="s">
        <v>914</v>
      </c>
      <c r="I31" s="7" t="s">
        <v>959</v>
      </c>
    </row>
    <row r="33" customFormat="false" ht="15" hidden="false" customHeight="false" outlineLevel="0" collapsed="false">
      <c r="A33" s="4" t="s">
        <v>963</v>
      </c>
      <c r="B33" s="5"/>
      <c r="C33" s="5"/>
      <c r="D33" s="5"/>
      <c r="E33" s="5"/>
      <c r="F33" s="5"/>
      <c r="G33" s="5"/>
      <c r="H33" s="5"/>
      <c r="I33" s="5"/>
    </row>
    <row r="34" customFormat="false" ht="31.5" hidden="false" customHeight="true" outlineLevel="0" collapsed="false">
      <c r="A34" s="12" t="s">
        <v>863</v>
      </c>
      <c r="B34" s="12" t="s">
        <v>864</v>
      </c>
      <c r="C34" s="12" t="s">
        <v>964</v>
      </c>
      <c r="D34" s="12" t="s">
        <v>965</v>
      </c>
      <c r="E34" s="12" t="s">
        <v>966</v>
      </c>
      <c r="F34" s="12" t="s">
        <v>967</v>
      </c>
      <c r="G34" s="12"/>
      <c r="H34" s="12" t="s">
        <v>149</v>
      </c>
      <c r="I34" s="12" t="s">
        <v>968</v>
      </c>
    </row>
    <row r="35" customFormat="false" ht="15" hidden="false" customHeight="false" outlineLevel="0" collapsed="false">
      <c r="A35" s="7" t="s">
        <v>942</v>
      </c>
      <c r="B35" s="7" t="s">
        <v>827</v>
      </c>
      <c r="C35" s="7" t="s">
        <v>969</v>
      </c>
      <c r="D35" s="13" t="s">
        <v>828</v>
      </c>
      <c r="E35" s="13" t="s">
        <v>209</v>
      </c>
      <c r="F35" s="13" t="s">
        <v>970</v>
      </c>
      <c r="G35" s="13"/>
      <c r="H35" s="7" t="s">
        <v>124</v>
      </c>
      <c r="I35" s="7" t="s">
        <v>205</v>
      </c>
    </row>
    <row r="36" customFormat="false" ht="15" hidden="false" customHeight="false" outlineLevel="0" collapsed="false">
      <c r="A36" s="7" t="s">
        <v>942</v>
      </c>
      <c r="B36" s="7" t="s">
        <v>831</v>
      </c>
      <c r="C36" s="7" t="s">
        <v>971</v>
      </c>
      <c r="D36" s="13" t="s">
        <v>832</v>
      </c>
      <c r="E36" s="13" t="s">
        <v>231</v>
      </c>
      <c r="F36" s="13" t="s">
        <v>970</v>
      </c>
      <c r="G36" s="13"/>
      <c r="H36" s="7" t="s">
        <v>123</v>
      </c>
      <c r="I36" s="7" t="s">
        <v>227</v>
      </c>
    </row>
    <row r="37" customFormat="false" ht="23.85" hidden="false" customHeight="false" outlineLevel="0" collapsed="false">
      <c r="A37" s="7" t="s">
        <v>942</v>
      </c>
      <c r="B37" s="7" t="s">
        <v>834</v>
      </c>
      <c r="C37" s="7" t="s">
        <v>972</v>
      </c>
      <c r="D37" s="13" t="s">
        <v>835</v>
      </c>
      <c r="E37" s="13" t="s">
        <v>209</v>
      </c>
      <c r="F37" s="13" t="s">
        <v>973</v>
      </c>
      <c r="G37" s="13"/>
      <c r="H37" s="7" t="s">
        <v>125</v>
      </c>
      <c r="I37" s="7" t="s">
        <v>259</v>
      </c>
    </row>
    <row r="38" customFormat="false" ht="23.85" hidden="false" customHeight="false" outlineLevel="0" collapsed="false">
      <c r="A38" s="7" t="s">
        <v>837</v>
      </c>
      <c r="B38" s="7" t="s">
        <v>887</v>
      </c>
      <c r="C38" s="7" t="s">
        <v>974</v>
      </c>
      <c r="D38" s="13" t="s">
        <v>975</v>
      </c>
      <c r="E38" s="13" t="s">
        <v>209</v>
      </c>
      <c r="F38" s="13" t="s">
        <v>973</v>
      </c>
      <c r="G38" s="13"/>
      <c r="H38" s="7" t="s">
        <v>123</v>
      </c>
      <c r="I38" s="7" t="s">
        <v>274</v>
      </c>
    </row>
    <row r="39" customFormat="false" ht="23.85" hidden="false" customHeight="false" outlineLevel="0" collapsed="false">
      <c r="A39" s="7" t="s">
        <v>840</v>
      </c>
      <c r="B39" s="7" t="s">
        <v>887</v>
      </c>
      <c r="C39" s="7" t="s">
        <v>976</v>
      </c>
      <c r="D39" s="13" t="s">
        <v>841</v>
      </c>
      <c r="E39" s="13" t="s">
        <v>231</v>
      </c>
      <c r="F39" s="13" t="s">
        <v>977</v>
      </c>
      <c r="G39" s="13"/>
      <c r="H39" s="7" t="s">
        <v>126</v>
      </c>
      <c r="I39" s="7" t="s">
        <v>289</v>
      </c>
    </row>
    <row r="40" customFormat="false" ht="23.85" hidden="false" customHeight="false" outlineLevel="0" collapsed="false">
      <c r="A40" s="7" t="s">
        <v>843</v>
      </c>
      <c r="B40" s="7" t="s">
        <v>887</v>
      </c>
      <c r="C40" s="7" t="s">
        <v>978</v>
      </c>
      <c r="D40" s="13" t="s">
        <v>844</v>
      </c>
      <c r="E40" s="13" t="s">
        <v>231</v>
      </c>
      <c r="F40" s="13" t="s">
        <v>970</v>
      </c>
      <c r="G40" s="13"/>
      <c r="H40" s="7" t="s">
        <v>127</v>
      </c>
      <c r="I40" s="7" t="s">
        <v>335</v>
      </c>
    </row>
    <row r="41" customFormat="false" ht="23.85" hidden="false" customHeight="false" outlineLevel="0" collapsed="false">
      <c r="A41" s="7" t="s">
        <v>846</v>
      </c>
      <c r="B41" s="7" t="s">
        <v>887</v>
      </c>
      <c r="C41" s="7" t="s">
        <v>979</v>
      </c>
      <c r="D41" s="13" t="s">
        <v>847</v>
      </c>
      <c r="E41" s="13" t="s">
        <v>209</v>
      </c>
      <c r="F41" s="13" t="s">
        <v>970</v>
      </c>
      <c r="G41" s="13"/>
      <c r="H41" s="7" t="s">
        <v>128</v>
      </c>
      <c r="I41" s="7" t="s">
        <v>372</v>
      </c>
    </row>
    <row r="42" customFormat="false" ht="23.85" hidden="false" customHeight="false" outlineLevel="0" collapsed="false">
      <c r="A42" s="7" t="s">
        <v>849</v>
      </c>
      <c r="B42" s="7" t="s">
        <v>887</v>
      </c>
      <c r="C42" s="7" t="s">
        <v>980</v>
      </c>
      <c r="D42" s="13" t="s">
        <v>981</v>
      </c>
      <c r="E42" s="13" t="s">
        <v>231</v>
      </c>
      <c r="F42" s="13" t="s">
        <v>973</v>
      </c>
      <c r="G42" s="13"/>
      <c r="H42" s="7" t="s">
        <v>129</v>
      </c>
      <c r="I42" s="7" t="s">
        <v>386</v>
      </c>
    </row>
    <row r="43" customFormat="false" ht="23.85" hidden="false" customHeight="false" outlineLevel="0" collapsed="false">
      <c r="A43" s="7" t="s">
        <v>852</v>
      </c>
      <c r="B43" s="7" t="s">
        <v>887</v>
      </c>
      <c r="C43" s="7" t="s">
        <v>982</v>
      </c>
      <c r="D43" s="13" t="s">
        <v>853</v>
      </c>
      <c r="E43" s="13" t="s">
        <v>432</v>
      </c>
      <c r="F43" s="13" t="s">
        <v>983</v>
      </c>
      <c r="G43" s="13"/>
      <c r="H43" s="7" t="s">
        <v>131</v>
      </c>
      <c r="I43" s="7" t="s">
        <v>428</v>
      </c>
    </row>
    <row r="44" customFormat="false" ht="23.85" hidden="false" customHeight="false" outlineLevel="0" collapsed="false">
      <c r="A44" s="7" t="s">
        <v>856</v>
      </c>
      <c r="B44" s="7" t="s">
        <v>887</v>
      </c>
      <c r="C44" s="7" t="s">
        <v>984</v>
      </c>
      <c r="D44" s="13" t="s">
        <v>857</v>
      </c>
      <c r="E44" s="13" t="s">
        <v>464</v>
      </c>
      <c r="F44" s="13" t="s">
        <v>973</v>
      </c>
      <c r="G44" s="13"/>
      <c r="H44" s="7" t="s">
        <v>130</v>
      </c>
      <c r="I44" s="7" t="s">
        <v>461</v>
      </c>
    </row>
    <row r="45" customFormat="false" ht="23.85" hidden="false" customHeight="false" outlineLevel="0" collapsed="false">
      <c r="A45" s="7" t="s">
        <v>942</v>
      </c>
      <c r="B45" s="7" t="s">
        <v>887</v>
      </c>
      <c r="C45" s="7" t="s">
        <v>985</v>
      </c>
      <c r="D45" s="13" t="s">
        <v>986</v>
      </c>
      <c r="E45" s="13" t="s">
        <v>432</v>
      </c>
      <c r="F45" s="13" t="s">
        <v>970</v>
      </c>
      <c r="G45" s="13"/>
      <c r="H45" s="7" t="s">
        <v>914</v>
      </c>
      <c r="I45" s="7" t="s">
        <v>987</v>
      </c>
    </row>
    <row r="47" customFormat="false" ht="15" hidden="false" customHeight="false" outlineLevel="0" collapsed="false">
      <c r="A47" s="4" t="s">
        <v>988</v>
      </c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12" t="s">
        <v>989</v>
      </c>
      <c r="B48" s="12" t="s">
        <v>990</v>
      </c>
      <c r="C48" s="12"/>
      <c r="D48" s="12" t="s">
        <v>991</v>
      </c>
      <c r="E48" s="12" t="s">
        <v>149</v>
      </c>
      <c r="F48" s="12"/>
      <c r="G48" s="12"/>
      <c r="H48" s="12" t="s">
        <v>150</v>
      </c>
      <c r="I48" s="12"/>
    </row>
    <row r="49" customFormat="false" ht="35.05" hidden="false" customHeight="false" outlineLevel="0" collapsed="false">
      <c r="A49" s="7" t="s">
        <v>992</v>
      </c>
      <c r="B49" s="7" t="s">
        <v>993</v>
      </c>
      <c r="C49" s="7"/>
      <c r="D49" s="7" t="s">
        <v>994</v>
      </c>
      <c r="E49" s="7" t="s">
        <v>894</v>
      </c>
      <c r="F49" s="7"/>
      <c r="G49" s="7"/>
      <c r="H49" s="7" t="s">
        <v>995</v>
      </c>
      <c r="I49" s="7"/>
    </row>
    <row r="50" customFormat="false" ht="23.85" hidden="false" customHeight="false" outlineLevel="0" collapsed="false">
      <c r="A50" s="7" t="s">
        <v>996</v>
      </c>
      <c r="B50" s="7" t="s">
        <v>997</v>
      </c>
      <c r="C50" s="7"/>
      <c r="D50" s="7" t="s">
        <v>994</v>
      </c>
      <c r="E50" s="7" t="s">
        <v>998</v>
      </c>
      <c r="F50" s="7"/>
      <c r="G50" s="7"/>
      <c r="H50" s="7" t="s">
        <v>995</v>
      </c>
      <c r="I50" s="7"/>
    </row>
    <row r="51" customFormat="false" ht="23.85" hidden="false" customHeight="false" outlineLevel="0" collapsed="false">
      <c r="A51" s="7" t="s">
        <v>999</v>
      </c>
      <c r="B51" s="7" t="s">
        <v>1000</v>
      </c>
      <c r="C51" s="7"/>
      <c r="D51" s="7" t="s">
        <v>1001</v>
      </c>
      <c r="E51" s="7" t="s">
        <v>894</v>
      </c>
      <c r="F51" s="7"/>
      <c r="G51" s="7"/>
      <c r="H51" s="7" t="s">
        <v>1002</v>
      </c>
      <c r="I51" s="7"/>
    </row>
    <row r="53" customFormat="false" ht="15" hidden="false" customHeight="false" outlineLevel="0" collapsed="false">
      <c r="A53" s="3" t="s">
        <v>1003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57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1004</v>
      </c>
    </row>
    <row r="4" customFormat="false" ht="42" hidden="false" customHeight="true" outlineLevel="0" collapsed="false">
      <c r="A4" s="12" t="s">
        <v>1005</v>
      </c>
      <c r="B4" s="12" t="s">
        <v>1006</v>
      </c>
      <c r="C4" s="12" t="s">
        <v>1007</v>
      </c>
      <c r="D4" s="12" t="s">
        <v>1008</v>
      </c>
      <c r="E4" s="12" t="s">
        <v>1009</v>
      </c>
    </row>
    <row r="5" customFormat="false" ht="23.85" hidden="false" customHeight="false" outlineLevel="0" collapsed="false">
      <c r="A5" s="7" t="s">
        <v>47</v>
      </c>
      <c r="B5" s="7" t="s">
        <v>177</v>
      </c>
      <c r="C5" s="7" t="s">
        <v>1010</v>
      </c>
      <c r="D5" s="7" t="s">
        <v>1011</v>
      </c>
      <c r="E5" s="7" t="s">
        <v>1012</v>
      </c>
    </row>
    <row r="6" customFormat="false" ht="23.85" hidden="false" customHeight="false" outlineLevel="0" collapsed="false">
      <c r="A6" s="7" t="s">
        <v>47</v>
      </c>
      <c r="B6" s="7" t="s">
        <v>178</v>
      </c>
      <c r="C6" s="7" t="s">
        <v>1013</v>
      </c>
      <c r="D6" s="7" t="s">
        <v>1014</v>
      </c>
      <c r="E6" s="7" t="s">
        <v>1015</v>
      </c>
    </row>
    <row r="7" customFormat="false" ht="15" hidden="false" customHeight="false" outlineLevel="0" collapsed="false">
      <c r="A7" s="7" t="s">
        <v>47</v>
      </c>
      <c r="B7" s="7" t="s">
        <v>1016</v>
      </c>
      <c r="C7" s="7" t="s">
        <v>1017</v>
      </c>
      <c r="D7" s="7" t="s">
        <v>1018</v>
      </c>
      <c r="E7" s="7" t="s">
        <v>1015</v>
      </c>
    </row>
    <row r="8" customFormat="false" ht="23.85" hidden="false" customHeight="false" outlineLevel="0" collapsed="false">
      <c r="A8" s="7" t="s">
        <v>47</v>
      </c>
      <c r="B8" s="7" t="s">
        <v>182</v>
      </c>
      <c r="C8" s="7" t="s">
        <v>1019</v>
      </c>
      <c r="D8" s="7" t="s">
        <v>1020</v>
      </c>
      <c r="E8" s="7" t="s">
        <v>1015</v>
      </c>
    </row>
    <row r="9" customFormat="false" ht="23.85" hidden="false" customHeight="false" outlineLevel="0" collapsed="false">
      <c r="A9" s="7" t="s">
        <v>47</v>
      </c>
      <c r="B9" s="7" t="s">
        <v>183</v>
      </c>
      <c r="C9" s="7" t="s">
        <v>1021</v>
      </c>
      <c r="D9" s="7" t="s">
        <v>1022</v>
      </c>
      <c r="E9" s="7" t="s">
        <v>1015</v>
      </c>
    </row>
    <row r="10" customFormat="false" ht="23.85" hidden="false" customHeight="false" outlineLevel="0" collapsed="false">
      <c r="A10" s="7" t="s">
        <v>47</v>
      </c>
      <c r="B10" s="7" t="s">
        <v>1023</v>
      </c>
      <c r="C10" s="7" t="s">
        <v>1024</v>
      </c>
      <c r="D10" s="7" t="s">
        <v>1025</v>
      </c>
      <c r="E10" s="7" t="s">
        <v>1015</v>
      </c>
    </row>
    <row r="11" customFormat="false" ht="23.85" hidden="false" customHeight="false" outlineLevel="0" collapsed="false">
      <c r="A11" s="7" t="s">
        <v>47</v>
      </c>
      <c r="B11" s="7" t="s">
        <v>186</v>
      </c>
      <c r="C11" s="7" t="s">
        <v>1026</v>
      </c>
      <c r="D11" s="7" t="s">
        <v>1025</v>
      </c>
      <c r="E11" s="7" t="s">
        <v>1015</v>
      </c>
    </row>
    <row r="12" customFormat="false" ht="15" hidden="false" customHeight="false" outlineLevel="0" collapsed="false">
      <c r="A12" s="7" t="s">
        <v>47</v>
      </c>
      <c r="B12" s="7" t="s">
        <v>187</v>
      </c>
      <c r="C12" s="7" t="s">
        <v>1027</v>
      </c>
      <c r="D12" s="7" t="s">
        <v>1025</v>
      </c>
      <c r="E12" s="7" t="s">
        <v>1015</v>
      </c>
    </row>
    <row r="13" customFormat="false" ht="15" hidden="false" customHeight="false" outlineLevel="0" collapsed="false">
      <c r="A13" s="7" t="s">
        <v>47</v>
      </c>
      <c r="B13" s="7" t="s">
        <v>14</v>
      </c>
      <c r="C13" s="7" t="s">
        <v>1028</v>
      </c>
      <c r="D13" s="7" t="s">
        <v>1029</v>
      </c>
      <c r="E13" s="7" t="s">
        <v>1030</v>
      </c>
    </row>
    <row r="14" customFormat="false" ht="46.25" hidden="false" customHeight="false" outlineLevel="0" collapsed="false">
      <c r="A14" s="7" t="s">
        <v>47</v>
      </c>
      <c r="B14" s="7" t="s">
        <v>188</v>
      </c>
      <c r="C14" s="7" t="s">
        <v>1031</v>
      </c>
      <c r="D14" s="7" t="s">
        <v>1032</v>
      </c>
      <c r="E14" s="7" t="s">
        <v>1030</v>
      </c>
    </row>
    <row r="15" customFormat="false" ht="23.85" hidden="false" customHeight="false" outlineLevel="0" collapsed="false">
      <c r="A15" s="7" t="s">
        <v>47</v>
      </c>
      <c r="B15" s="7" t="s">
        <v>189</v>
      </c>
      <c r="C15" s="7" t="s">
        <v>1033</v>
      </c>
      <c r="D15" s="7" t="s">
        <v>1025</v>
      </c>
      <c r="E15" s="7" t="s">
        <v>1015</v>
      </c>
    </row>
    <row r="16" customFormat="false" ht="15" hidden="false" customHeight="false" outlineLevel="0" collapsed="false">
      <c r="A16" s="7" t="s">
        <v>47</v>
      </c>
      <c r="B16" s="7" t="s">
        <v>108</v>
      </c>
      <c r="C16" s="7" t="s">
        <v>1034</v>
      </c>
      <c r="D16" s="7" t="s">
        <v>1035</v>
      </c>
      <c r="E16" s="7" t="s">
        <v>1030</v>
      </c>
    </row>
    <row r="17" customFormat="false" ht="23.85" hidden="false" customHeight="false" outlineLevel="0" collapsed="false">
      <c r="A17" s="7" t="s">
        <v>47</v>
      </c>
      <c r="B17" s="7" t="s">
        <v>190</v>
      </c>
      <c r="C17" s="7" t="s">
        <v>1036</v>
      </c>
      <c r="D17" s="7" t="s">
        <v>1037</v>
      </c>
      <c r="E17" s="7" t="s">
        <v>1015</v>
      </c>
    </row>
    <row r="18" customFormat="false" ht="15" hidden="false" customHeight="false" outlineLevel="0" collapsed="false">
      <c r="A18" s="7" t="s">
        <v>47</v>
      </c>
      <c r="B18" s="7" t="s">
        <v>191</v>
      </c>
      <c r="C18" s="7" t="s">
        <v>1038</v>
      </c>
      <c r="D18" s="7" t="s">
        <v>1039</v>
      </c>
      <c r="E18" s="7" t="s">
        <v>1030</v>
      </c>
    </row>
    <row r="19" customFormat="false" ht="15" hidden="false" customHeight="false" outlineLevel="0" collapsed="false">
      <c r="A19" s="7" t="s">
        <v>47</v>
      </c>
      <c r="B19" s="7" t="s">
        <v>192</v>
      </c>
      <c r="C19" s="7" t="s">
        <v>1040</v>
      </c>
      <c r="D19" s="7" t="s">
        <v>1025</v>
      </c>
      <c r="E19" s="7" t="s">
        <v>1015</v>
      </c>
    </row>
    <row r="20" customFormat="false" ht="23.85" hidden="false" customHeight="false" outlineLevel="0" collapsed="false">
      <c r="A20" s="7" t="s">
        <v>47</v>
      </c>
      <c r="B20" s="7" t="s">
        <v>193</v>
      </c>
      <c r="C20" s="7" t="s">
        <v>1041</v>
      </c>
      <c r="D20" s="7" t="s">
        <v>1042</v>
      </c>
      <c r="E20" s="7" t="s">
        <v>1015</v>
      </c>
    </row>
    <row r="21" customFormat="false" ht="35.05" hidden="false" customHeight="false" outlineLevel="0" collapsed="false">
      <c r="A21" s="7" t="s">
        <v>47</v>
      </c>
      <c r="B21" s="7" t="s">
        <v>194</v>
      </c>
      <c r="C21" s="7" t="s">
        <v>1043</v>
      </c>
      <c r="D21" s="7" t="s">
        <v>1044</v>
      </c>
      <c r="E21" s="7" t="s">
        <v>1030</v>
      </c>
    </row>
    <row r="22" customFormat="false" ht="23.85" hidden="false" customHeight="false" outlineLevel="0" collapsed="false">
      <c r="A22" s="7" t="s">
        <v>47</v>
      </c>
      <c r="B22" s="7" t="s">
        <v>195</v>
      </c>
      <c r="C22" s="7" t="s">
        <v>1045</v>
      </c>
      <c r="D22" s="7" t="s">
        <v>219</v>
      </c>
      <c r="E22" s="7" t="s">
        <v>1012</v>
      </c>
    </row>
    <row r="23" customFormat="false" ht="15" hidden="false" customHeight="false" outlineLevel="0" collapsed="false">
      <c r="A23" s="7" t="s">
        <v>47</v>
      </c>
      <c r="B23" s="7" t="s">
        <v>196</v>
      </c>
      <c r="C23" s="7" t="s">
        <v>1046</v>
      </c>
      <c r="D23" s="7" t="s">
        <v>1025</v>
      </c>
      <c r="E23" s="7" t="s">
        <v>1015</v>
      </c>
    </row>
    <row r="24" customFormat="false" ht="23.85" hidden="false" customHeight="false" outlineLevel="0" collapsed="false">
      <c r="A24" s="7" t="s">
        <v>47</v>
      </c>
      <c r="B24" s="7" t="s">
        <v>197</v>
      </c>
      <c r="C24" s="7" t="s">
        <v>1047</v>
      </c>
      <c r="D24" s="7" t="s">
        <v>1048</v>
      </c>
      <c r="E24" s="7" t="s">
        <v>1015</v>
      </c>
    </row>
    <row r="25" customFormat="false" ht="15" hidden="false" customHeight="false" outlineLevel="0" collapsed="false">
      <c r="A25" s="7" t="s">
        <v>47</v>
      </c>
      <c r="B25" s="7" t="s">
        <v>198</v>
      </c>
      <c r="C25" s="7" t="s">
        <v>1049</v>
      </c>
      <c r="D25" s="7" t="s">
        <v>1050</v>
      </c>
      <c r="E25" s="7" t="s">
        <v>1030</v>
      </c>
    </row>
    <row r="26" customFormat="false" ht="23.85" hidden="false" customHeight="false" outlineLevel="0" collapsed="false">
      <c r="A26" s="7" t="s">
        <v>47</v>
      </c>
      <c r="B26" s="7" t="s">
        <v>199</v>
      </c>
      <c r="C26" s="7" t="s">
        <v>1051</v>
      </c>
      <c r="D26" s="7" t="s">
        <v>1052</v>
      </c>
      <c r="E26" s="7" t="s">
        <v>1030</v>
      </c>
    </row>
    <row r="27" customFormat="false" ht="23.85" hidden="false" customHeight="false" outlineLevel="0" collapsed="false">
      <c r="A27" s="7" t="s">
        <v>47</v>
      </c>
      <c r="B27" s="7" t="s">
        <v>200</v>
      </c>
      <c r="C27" s="7" t="s">
        <v>1053</v>
      </c>
      <c r="D27" s="7" t="s">
        <v>1025</v>
      </c>
      <c r="E27" s="7" t="s">
        <v>1015</v>
      </c>
    </row>
    <row r="28" customFormat="false" ht="15" hidden="false" customHeight="false" outlineLevel="0" collapsed="false">
      <c r="A28" s="7" t="s">
        <v>47</v>
      </c>
      <c r="B28" s="7" t="s">
        <v>201</v>
      </c>
      <c r="C28" s="7" t="s">
        <v>1054</v>
      </c>
      <c r="D28" s="7" t="s">
        <v>1025</v>
      </c>
      <c r="E28" s="7" t="s">
        <v>1015</v>
      </c>
    </row>
    <row r="29" customFormat="false" ht="15" hidden="false" customHeight="false" outlineLevel="0" collapsed="false">
      <c r="A29" s="7" t="s">
        <v>47</v>
      </c>
      <c r="B29" s="7" t="s">
        <v>202</v>
      </c>
      <c r="C29" s="7" t="s">
        <v>1055</v>
      </c>
      <c r="D29" s="7" t="s">
        <v>224</v>
      </c>
      <c r="E29" s="7" t="s">
        <v>1012</v>
      </c>
    </row>
    <row r="30" customFormat="false" ht="15" hidden="false" customHeight="false" outlineLevel="0" collapsed="false">
      <c r="A30" s="7" t="s">
        <v>49</v>
      </c>
      <c r="B30" s="7" t="s">
        <v>511</v>
      </c>
      <c r="C30" s="7" t="s">
        <v>1056</v>
      </c>
      <c r="D30" s="7" t="s">
        <v>1057</v>
      </c>
      <c r="E30" s="7" t="s">
        <v>1012</v>
      </c>
    </row>
    <row r="31" customFormat="false" ht="15" hidden="false" customHeight="false" outlineLevel="0" collapsed="false">
      <c r="A31" s="7" t="s">
        <v>49</v>
      </c>
      <c r="B31" s="7" t="s">
        <v>512</v>
      </c>
      <c r="C31" s="7" t="s">
        <v>1058</v>
      </c>
      <c r="D31" s="7" t="s">
        <v>1059</v>
      </c>
      <c r="E31" s="7" t="s">
        <v>1012</v>
      </c>
    </row>
    <row r="32" customFormat="false" ht="15" hidden="false" customHeight="false" outlineLevel="0" collapsed="false">
      <c r="A32" s="7" t="s">
        <v>49</v>
      </c>
      <c r="B32" s="7" t="s">
        <v>1060</v>
      </c>
      <c r="C32" s="7" t="s">
        <v>1061</v>
      </c>
      <c r="D32" s="7" t="s">
        <v>1062</v>
      </c>
      <c r="E32" s="7" t="s">
        <v>1062</v>
      </c>
    </row>
    <row r="33" customFormat="false" ht="35.05" hidden="false" customHeight="false" outlineLevel="0" collapsed="false">
      <c r="A33" s="7" t="s">
        <v>49</v>
      </c>
      <c r="B33" s="7" t="s">
        <v>515</v>
      </c>
      <c r="C33" s="7" t="s">
        <v>1063</v>
      </c>
      <c r="D33" s="7" t="s">
        <v>1025</v>
      </c>
      <c r="E33" s="7" t="s">
        <v>1015</v>
      </c>
    </row>
    <row r="34" customFormat="false" ht="15" hidden="false" customHeight="false" outlineLevel="0" collapsed="false">
      <c r="A34" s="7" t="s">
        <v>49</v>
      </c>
      <c r="B34" s="7" t="s">
        <v>519</v>
      </c>
      <c r="C34" s="7" t="s">
        <v>1064</v>
      </c>
      <c r="D34" s="7" t="s">
        <v>521</v>
      </c>
      <c r="E34" s="7" t="s">
        <v>1012</v>
      </c>
    </row>
    <row r="35" customFormat="false" ht="15" hidden="false" customHeight="false" outlineLevel="0" collapsed="false">
      <c r="A35" s="7" t="s">
        <v>51</v>
      </c>
      <c r="B35" s="7" t="s">
        <v>1065</v>
      </c>
      <c r="C35" s="7" t="s">
        <v>1066</v>
      </c>
      <c r="D35" s="7" t="s">
        <v>1067</v>
      </c>
      <c r="E35" s="7" t="s">
        <v>1012</v>
      </c>
    </row>
    <row r="36" customFormat="false" ht="15" hidden="false" customHeight="false" outlineLevel="0" collapsed="false">
      <c r="A36" s="7" t="s">
        <v>51</v>
      </c>
      <c r="B36" s="7" t="s">
        <v>1068</v>
      </c>
      <c r="C36" s="7" t="s">
        <v>1069</v>
      </c>
      <c r="D36" s="7" t="s">
        <v>570</v>
      </c>
      <c r="E36" s="7" t="s">
        <v>1015</v>
      </c>
    </row>
    <row r="37" customFormat="false" ht="35.05" hidden="false" customHeight="false" outlineLevel="0" collapsed="false">
      <c r="A37" s="7" t="s">
        <v>51</v>
      </c>
      <c r="B37" s="7" t="s">
        <v>1070</v>
      </c>
      <c r="C37" s="7" t="s">
        <v>1071</v>
      </c>
      <c r="D37" s="7" t="s">
        <v>1025</v>
      </c>
      <c r="E37" s="7" t="s">
        <v>1015</v>
      </c>
    </row>
    <row r="38" customFormat="false" ht="23.85" hidden="false" customHeight="false" outlineLevel="0" collapsed="false">
      <c r="A38" s="7" t="s">
        <v>51</v>
      </c>
      <c r="B38" s="7" t="s">
        <v>565</v>
      </c>
      <c r="C38" s="7" t="s">
        <v>1072</v>
      </c>
      <c r="D38" s="7" t="s">
        <v>574</v>
      </c>
      <c r="E38" s="7" t="s">
        <v>1012</v>
      </c>
    </row>
    <row r="39" customFormat="false" ht="23.85" hidden="false" customHeight="false" outlineLevel="0" collapsed="false">
      <c r="A39" s="7" t="s">
        <v>53</v>
      </c>
      <c r="B39" s="7" t="s">
        <v>1073</v>
      </c>
      <c r="C39" s="7" t="s">
        <v>1074</v>
      </c>
      <c r="D39" s="7" t="s">
        <v>1075</v>
      </c>
      <c r="E39" s="7" t="s">
        <v>1062</v>
      </c>
    </row>
  </sheetData>
  <autoFilter ref="A4:E39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2026-10-21T06:24:35Z</dcterms:created>
  <dc:creator>openpyxl</dc:creator>
  <dc:description/>
  <dc:language>en-US</dc:language>
  <cp:lastModifiedBy/>
  <dcterms:modified xsi:type="dcterms:W3CDTF">2026-10-21T06:24:35Z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